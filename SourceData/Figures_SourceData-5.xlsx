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enzhen Bay Lab\深圳湾实验室\4 广东省重大项目ESCC-scRNA-seq\正式实验\百奥分析\文章正图\NG submission\R3.0\R3.0 Figures final\NG R3.0 final\NG R4.0\NG manuscript R4.0 20261018\ESCC-main (1)\ESCC-main\SourceData\"/>
    </mc:Choice>
  </mc:AlternateContent>
  <xr:revisionPtr revIDLastSave="0" documentId="13_ncr:1_{8FCD4B65-7EDC-42F6-A9AE-1C3CE03C522F}" xr6:coauthVersionLast="47" xr6:coauthVersionMax="47" xr10:uidLastSave="{00000000-0000-0000-0000-000000000000}"/>
  <bookViews>
    <workbookView xWindow="-110" yWindow="-110" windowWidth="25820" windowHeight="15620" activeTab="10" xr2:uid="{456F35EC-492D-43B8-BB7D-B6E9BD769548}"/>
  </bookViews>
  <sheets>
    <sheet name="Figure7e" sheetId="1" r:id="rId1"/>
    <sheet name="Figure7f" sheetId="2" r:id="rId2"/>
    <sheet name="Figure7h" sheetId="3" r:id="rId3"/>
    <sheet name="Figure7j" sheetId="4" r:id="rId4"/>
    <sheet name="Figure7k" sheetId="5" r:id="rId5"/>
    <sheet name="Figure7l" sheetId="6" r:id="rId6"/>
    <sheet name="Figure7m" sheetId="7" r:id="rId7"/>
    <sheet name="Figure7n" sheetId="8" r:id="rId8"/>
    <sheet name="Figure7o" sheetId="9" r:id="rId9"/>
    <sheet name="Figure7p" sheetId="10" r:id="rId10"/>
    <sheet name="Figure7q,r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8" i="11" l="1"/>
  <c r="Q48" i="11"/>
  <c r="P48" i="11"/>
  <c r="O48" i="11"/>
  <c r="U47" i="11"/>
  <c r="T47" i="11"/>
  <c r="V47" i="11" s="1"/>
  <c r="S47" i="11"/>
  <c r="K47" i="11"/>
  <c r="J47" i="11"/>
  <c r="L47" i="11" s="1"/>
  <c r="I47" i="11"/>
  <c r="C47" i="11"/>
  <c r="U46" i="11"/>
  <c r="T46" i="11"/>
  <c r="V46" i="11" s="1"/>
  <c r="S46" i="11"/>
  <c r="K46" i="11"/>
  <c r="J46" i="11"/>
  <c r="L46" i="11" s="1"/>
  <c r="I46" i="11"/>
  <c r="C46" i="11"/>
  <c r="V45" i="11"/>
  <c r="U45" i="11"/>
  <c r="T45" i="11"/>
  <c r="S45" i="11"/>
  <c r="K45" i="11"/>
  <c r="J45" i="11"/>
  <c r="L45" i="11" s="1"/>
  <c r="I45" i="11"/>
  <c r="C45" i="11"/>
  <c r="V44" i="11"/>
  <c r="U44" i="11"/>
  <c r="T44" i="11"/>
  <c r="S44" i="11"/>
  <c r="K44" i="11"/>
  <c r="J44" i="11"/>
  <c r="L44" i="11" s="1"/>
  <c r="I44" i="11"/>
  <c r="C44" i="11"/>
  <c r="U43" i="11"/>
  <c r="T43" i="11"/>
  <c r="V43" i="11" s="1"/>
  <c r="S43" i="11"/>
  <c r="K43" i="11"/>
  <c r="J43" i="11"/>
  <c r="L43" i="11" s="1"/>
  <c r="I43" i="11"/>
  <c r="C43" i="11"/>
  <c r="U42" i="11"/>
  <c r="T42" i="11"/>
  <c r="V42" i="11" s="1"/>
  <c r="S42" i="11"/>
  <c r="K42" i="11"/>
  <c r="J42" i="11"/>
  <c r="L42" i="11" s="1"/>
  <c r="I42" i="11"/>
  <c r="C42" i="11"/>
  <c r="U41" i="11"/>
  <c r="T41" i="11"/>
  <c r="V41" i="11" s="1"/>
  <c r="S41" i="11"/>
  <c r="K41" i="11"/>
  <c r="L41" i="11" s="1"/>
  <c r="J41" i="11"/>
  <c r="I41" i="11"/>
  <c r="C41" i="11"/>
  <c r="U40" i="11"/>
  <c r="T40" i="11"/>
  <c r="V40" i="11" s="1"/>
  <c r="S40" i="11"/>
  <c r="L40" i="11"/>
  <c r="K40" i="11"/>
  <c r="J40" i="11"/>
  <c r="I40" i="11"/>
  <c r="C40" i="11"/>
  <c r="U39" i="11"/>
  <c r="T39" i="11"/>
  <c r="V39" i="11" s="1"/>
  <c r="S39" i="11"/>
  <c r="K39" i="11"/>
  <c r="L39" i="11" s="1"/>
  <c r="J39" i="11"/>
  <c r="I39" i="11"/>
  <c r="C39" i="11"/>
  <c r="U38" i="11"/>
  <c r="T38" i="11"/>
  <c r="V38" i="11" s="1"/>
  <c r="S38" i="11"/>
  <c r="K38" i="11"/>
  <c r="J38" i="11"/>
  <c r="L38" i="11" s="1"/>
  <c r="I38" i="11"/>
  <c r="C38" i="11"/>
  <c r="V37" i="11"/>
  <c r="U37" i="11"/>
  <c r="T37" i="11"/>
  <c r="S37" i="11"/>
  <c r="K37" i="11"/>
  <c r="J37" i="11"/>
  <c r="L37" i="11" s="1"/>
  <c r="I37" i="11"/>
  <c r="C37" i="11"/>
  <c r="V36" i="11"/>
  <c r="U36" i="11"/>
  <c r="T36" i="11"/>
  <c r="S36" i="11"/>
  <c r="K36" i="11"/>
  <c r="J36" i="11"/>
  <c r="L36" i="11" s="1"/>
  <c r="I36" i="11"/>
  <c r="C36" i="11"/>
  <c r="U35" i="11"/>
  <c r="T35" i="11"/>
  <c r="V35" i="11" s="1"/>
  <c r="S35" i="11"/>
  <c r="K35" i="11"/>
  <c r="J35" i="11"/>
  <c r="L35" i="11" s="1"/>
  <c r="I35" i="11"/>
  <c r="C35" i="11"/>
  <c r="U34" i="11"/>
  <c r="T34" i="11"/>
  <c r="V34" i="11" s="1"/>
  <c r="S34" i="11"/>
  <c r="K34" i="11"/>
  <c r="J34" i="11"/>
  <c r="L34" i="11" s="1"/>
  <c r="I34" i="11"/>
  <c r="C34" i="11"/>
  <c r="U33" i="11"/>
  <c r="T33" i="11"/>
  <c r="V33" i="11" s="1"/>
  <c r="S33" i="11"/>
  <c r="K33" i="11"/>
  <c r="L33" i="11" s="1"/>
  <c r="J33" i="11"/>
  <c r="I33" i="11"/>
  <c r="C33" i="11"/>
  <c r="U32" i="11"/>
  <c r="T32" i="11"/>
  <c r="V32" i="11" s="1"/>
  <c r="S32" i="11"/>
  <c r="L32" i="11"/>
  <c r="K32" i="11"/>
  <c r="J32" i="11"/>
  <c r="I32" i="11"/>
  <c r="C32" i="11"/>
  <c r="U31" i="11"/>
  <c r="T31" i="11"/>
  <c r="V31" i="11" s="1"/>
  <c r="S31" i="11"/>
  <c r="K31" i="11"/>
  <c r="J31" i="11"/>
  <c r="L31" i="11" s="1"/>
  <c r="I31" i="11"/>
  <c r="C31" i="11"/>
  <c r="U30" i="11"/>
  <c r="T30" i="11"/>
  <c r="V30" i="11" s="1"/>
  <c r="S30" i="11"/>
  <c r="K30" i="11"/>
  <c r="J30" i="11"/>
  <c r="L30" i="11" s="1"/>
  <c r="I30" i="11"/>
  <c r="C30" i="11"/>
  <c r="V29" i="11"/>
  <c r="U29" i="11"/>
  <c r="T29" i="11"/>
  <c r="S29" i="11"/>
  <c r="K29" i="11"/>
  <c r="J29" i="11"/>
  <c r="L29" i="11" s="1"/>
  <c r="I29" i="11"/>
  <c r="C29" i="11"/>
  <c r="V28" i="11"/>
  <c r="U28" i="11"/>
  <c r="T28" i="11"/>
  <c r="S28" i="11"/>
  <c r="L28" i="11"/>
  <c r="K28" i="11"/>
  <c r="J28" i="11"/>
  <c r="I28" i="11"/>
  <c r="C28" i="11"/>
  <c r="U27" i="11"/>
  <c r="T27" i="11"/>
  <c r="V27" i="11" s="1"/>
  <c r="S27" i="11"/>
  <c r="K27" i="11"/>
  <c r="J27" i="11"/>
  <c r="L27" i="11" s="1"/>
  <c r="I27" i="11"/>
  <c r="C27" i="11"/>
  <c r="R24" i="11"/>
  <c r="Q24" i="11"/>
  <c r="P24" i="11"/>
  <c r="O24" i="11"/>
  <c r="U23" i="11"/>
  <c r="T23" i="11"/>
  <c r="V23" i="11" s="1"/>
  <c r="S23" i="11"/>
  <c r="K23" i="11"/>
  <c r="J23" i="11"/>
  <c r="L23" i="11" s="1"/>
  <c r="I23" i="11"/>
  <c r="C23" i="11"/>
  <c r="V22" i="11"/>
  <c r="U22" i="11"/>
  <c r="T22" i="11"/>
  <c r="S22" i="11"/>
  <c r="K22" i="11"/>
  <c r="J22" i="11"/>
  <c r="L22" i="11" s="1"/>
  <c r="I22" i="11"/>
  <c r="C22" i="11"/>
  <c r="V21" i="11"/>
  <c r="U21" i="11"/>
  <c r="T21" i="11"/>
  <c r="S21" i="11"/>
  <c r="K21" i="11"/>
  <c r="J21" i="11"/>
  <c r="L21" i="11" s="1"/>
  <c r="I21" i="11"/>
  <c r="C21" i="11"/>
  <c r="U20" i="11"/>
  <c r="T20" i="11"/>
  <c r="V20" i="11" s="1"/>
  <c r="S20" i="11"/>
  <c r="L20" i="11"/>
  <c r="K20" i="11"/>
  <c r="J20" i="11"/>
  <c r="I20" i="11"/>
  <c r="C20" i="11"/>
  <c r="U19" i="11"/>
  <c r="T19" i="11"/>
  <c r="V19" i="11" s="1"/>
  <c r="S19" i="11"/>
  <c r="K19" i="11"/>
  <c r="J19" i="11"/>
  <c r="L19" i="11" s="1"/>
  <c r="I19" i="11"/>
  <c r="C19" i="11"/>
  <c r="U18" i="11"/>
  <c r="T18" i="11"/>
  <c r="V18" i="11" s="1"/>
  <c r="S18" i="11"/>
  <c r="K18" i="11"/>
  <c r="L18" i="11" s="1"/>
  <c r="J18" i="11"/>
  <c r="I18" i="11"/>
  <c r="C18" i="11"/>
  <c r="U17" i="11"/>
  <c r="T17" i="11"/>
  <c r="V17" i="11" s="1"/>
  <c r="S17" i="11"/>
  <c r="L17" i="11"/>
  <c r="K17" i="11"/>
  <c r="J17" i="11"/>
  <c r="I17" i="11"/>
  <c r="C17" i="11"/>
  <c r="V16" i="11"/>
  <c r="U16" i="11"/>
  <c r="T16" i="11"/>
  <c r="S16" i="11"/>
  <c r="K16" i="11"/>
  <c r="J16" i="11"/>
  <c r="L16" i="11" s="1"/>
  <c r="I16" i="11"/>
  <c r="C16" i="11"/>
  <c r="U15" i="11"/>
  <c r="T15" i="11"/>
  <c r="V15" i="11" s="1"/>
  <c r="S15" i="11"/>
  <c r="K15" i="11"/>
  <c r="J15" i="11"/>
  <c r="L15" i="11" s="1"/>
  <c r="I15" i="11"/>
  <c r="C15" i="11"/>
  <c r="V14" i="11"/>
  <c r="U14" i="11"/>
  <c r="T14" i="11"/>
  <c r="S14" i="11"/>
  <c r="K14" i="11"/>
  <c r="J14" i="11"/>
  <c r="L14" i="11" s="1"/>
  <c r="I14" i="11"/>
  <c r="C14" i="11"/>
  <c r="V13" i="11"/>
  <c r="U13" i="11"/>
  <c r="T13" i="11"/>
  <c r="S13" i="11"/>
  <c r="K13" i="11"/>
  <c r="J13" i="11"/>
  <c r="L13" i="11" s="1"/>
  <c r="I13" i="11"/>
  <c r="C13" i="11"/>
  <c r="U12" i="11"/>
  <c r="T12" i="11"/>
  <c r="V12" i="11" s="1"/>
  <c r="S12" i="11"/>
  <c r="K12" i="11"/>
  <c r="J12" i="11"/>
  <c r="L12" i="11" s="1"/>
  <c r="I12" i="11"/>
  <c r="C12" i="11"/>
  <c r="U11" i="11"/>
  <c r="T11" i="11"/>
  <c r="V11" i="11" s="1"/>
  <c r="S11" i="11"/>
  <c r="K11" i="11"/>
  <c r="J11" i="11"/>
  <c r="L11" i="11" s="1"/>
  <c r="I11" i="11"/>
  <c r="C11" i="11"/>
  <c r="U10" i="11"/>
  <c r="T10" i="11"/>
  <c r="V10" i="11" s="1"/>
  <c r="S10" i="11"/>
  <c r="K10" i="11"/>
  <c r="L10" i="11" s="1"/>
  <c r="J10" i="11"/>
  <c r="I10" i="11"/>
  <c r="C10" i="11"/>
  <c r="U9" i="11"/>
  <c r="T9" i="11"/>
  <c r="V9" i="11" s="1"/>
  <c r="S9" i="11"/>
  <c r="L9" i="11"/>
  <c r="K9" i="11"/>
  <c r="J9" i="11"/>
  <c r="I9" i="11"/>
  <c r="C9" i="11"/>
  <c r="U8" i="11"/>
  <c r="T8" i="11"/>
  <c r="V8" i="11" s="1"/>
  <c r="S8" i="11"/>
  <c r="K8" i="11"/>
  <c r="J8" i="11"/>
  <c r="L8" i="11" s="1"/>
  <c r="I8" i="11"/>
  <c r="C8" i="11"/>
  <c r="U7" i="11"/>
  <c r="T7" i="11"/>
  <c r="V7" i="11" s="1"/>
  <c r="S7" i="11"/>
  <c r="K7" i="11"/>
  <c r="J7" i="11"/>
  <c r="L7" i="11" s="1"/>
  <c r="I7" i="11"/>
  <c r="C7" i="11"/>
  <c r="V6" i="11"/>
  <c r="U6" i="11"/>
  <c r="T6" i="11"/>
  <c r="S6" i="11"/>
  <c r="K6" i="11"/>
  <c r="J6" i="11"/>
  <c r="L6" i="11" s="1"/>
  <c r="I6" i="11"/>
  <c r="C6" i="11"/>
  <c r="V5" i="11"/>
  <c r="U5" i="11"/>
  <c r="T5" i="11"/>
  <c r="S5" i="11"/>
  <c r="K5" i="11"/>
  <c r="J5" i="11"/>
  <c r="L5" i="11" s="1"/>
  <c r="I5" i="11"/>
  <c r="C5" i="11"/>
  <c r="V4" i="11"/>
  <c r="U4" i="11"/>
  <c r="T4" i="11"/>
  <c r="S4" i="11"/>
  <c r="L4" i="11"/>
  <c r="K4" i="11"/>
  <c r="J4" i="11"/>
  <c r="I4" i="11"/>
  <c r="C4" i="11"/>
  <c r="U3" i="11"/>
  <c r="T3" i="11"/>
  <c r="V3" i="11" s="1"/>
  <c r="S3" i="11"/>
  <c r="K3" i="11"/>
  <c r="J3" i="11"/>
  <c r="L3" i="11" s="1"/>
  <c r="I3" i="11"/>
  <c r="C3" i="11"/>
</calcChain>
</file>

<file path=xl/sharedStrings.xml><?xml version="1.0" encoding="utf-8"?>
<sst xmlns="http://schemas.openxmlformats.org/spreadsheetml/2006/main" count="282" uniqueCount="130">
  <si>
    <t>CAR1-CTRL</t>
  </si>
  <si>
    <t>CAR1-GEM KO</t>
  </si>
  <si>
    <t>E/T=0.008</t>
    <phoneticPr fontId="1" type="noConversion"/>
  </si>
  <si>
    <t>E/T=0.0016</t>
    <phoneticPr fontId="1" type="noConversion"/>
  </si>
  <si>
    <t>CAR1-K30L DAY4</t>
  </si>
  <si>
    <t>CAR1-K150L DAY4</t>
  </si>
  <si>
    <t>CAR2-CTRL</t>
  </si>
  <si>
    <t>CAR2-GEM KO</t>
  </si>
  <si>
    <t>CAR2-K30L DAY4</t>
    <phoneticPr fontId="1" type="noConversion"/>
  </si>
  <si>
    <t>CAR2-K150L DAY4</t>
    <phoneticPr fontId="1" type="noConversion"/>
  </si>
  <si>
    <t>CAR1-TNFα</t>
  </si>
  <si>
    <t>T cells</t>
  </si>
  <si>
    <t>KYSE30L</t>
  </si>
  <si>
    <t>KYSE150L</t>
  </si>
  <si>
    <t>CAR1-IFNγ</t>
  </si>
  <si>
    <t>CAR2-TNFα</t>
    <phoneticPr fontId="1" type="noConversion"/>
  </si>
  <si>
    <t>CAR2-IFNγ</t>
    <phoneticPr fontId="1" type="noConversion"/>
  </si>
  <si>
    <t>CAR1-Ctrl</t>
  </si>
  <si>
    <t>Round_0</t>
  </si>
  <si>
    <t>Round_1</t>
  </si>
  <si>
    <t>Round_2</t>
  </si>
  <si>
    <t>Round_3</t>
  </si>
  <si>
    <t>Round_4</t>
  </si>
  <si>
    <t>CAR1 cell proliferation Round0—Round4</t>
    <phoneticPr fontId="1" type="noConversion"/>
  </si>
  <si>
    <t>CAR2 cell proliferation Round0—Round4</t>
    <phoneticPr fontId="1" type="noConversion"/>
  </si>
  <si>
    <t>CAR2-Ctrl</t>
    <phoneticPr fontId="1" type="noConversion"/>
  </si>
  <si>
    <t>CAR2-GEM KO</t>
    <phoneticPr fontId="1" type="noConversion"/>
  </si>
  <si>
    <t>Tn</t>
  </si>
  <si>
    <t>Teff</t>
  </si>
  <si>
    <t>Tcm</t>
  </si>
  <si>
    <t>Tem</t>
  </si>
  <si>
    <t>turn4  CAR2-memory cell</t>
  </si>
  <si>
    <t>turn4  CAR1-memory cell</t>
    <phoneticPr fontId="1" type="noConversion"/>
  </si>
  <si>
    <t>CAR1-CTRL</t>
    <phoneticPr fontId="1" type="noConversion"/>
  </si>
  <si>
    <t>CAR1-GEM KO</t>
    <phoneticPr fontId="1" type="noConversion"/>
  </si>
  <si>
    <t>id</t>
  </si>
  <si>
    <t>name</t>
  </si>
  <si>
    <t>SIZE</t>
  </si>
  <si>
    <t>ES</t>
  </si>
  <si>
    <t>NES</t>
  </si>
  <si>
    <t>NOM p-val</t>
  </si>
  <si>
    <t>GO:1904315</t>
  </si>
  <si>
    <t>transmitter-gated ion channel activity involved in regulation of postsynaptic membrane potential</t>
  </si>
  <si>
    <t>GO:0098839</t>
  </si>
  <si>
    <t>postsynaptic density membrane</t>
  </si>
  <si>
    <t>GO:0005231</t>
  </si>
  <si>
    <t>excitatory extracellular ligand-gated ion channel activity</t>
  </si>
  <si>
    <t>GO:0060078</t>
  </si>
  <si>
    <t>regulation of postsynaptic membrane potential</t>
  </si>
  <si>
    <t>GO:0060079</t>
  </si>
  <si>
    <t>excitatory postsynaptic potential</t>
  </si>
  <si>
    <t>GO:1904071</t>
  </si>
  <si>
    <t>presynaptic active zone assembly</t>
  </si>
  <si>
    <t>GO:0097091</t>
  </si>
  <si>
    <t>synaptic vesicle clustering</t>
  </si>
  <si>
    <t>GO:2000300</t>
  </si>
  <si>
    <t>regulation of synaptic vesicle exocytosis</t>
  </si>
  <si>
    <t>GO:0006911</t>
  </si>
  <si>
    <t>phagocytosis, engulfment</t>
  </si>
  <si>
    <t>GO:0042611</t>
  </si>
  <si>
    <t>MHC protein complex</t>
  </si>
  <si>
    <t>GO:0002323</t>
  </si>
  <si>
    <t>natural killer cell activation involved in immune response</t>
  </si>
  <si>
    <t>GO:0050716</t>
  </si>
  <si>
    <t>positive regulation of interleukin-1 secretion</t>
  </si>
  <si>
    <t>GO:0002532</t>
  </si>
  <si>
    <t>production of molecular mediator involved in inflammatory response</t>
  </si>
  <si>
    <t>GO:0032717</t>
  </si>
  <si>
    <t>negative regulation of interleukin-8 production</t>
  </si>
  <si>
    <t>GO:0002534</t>
  </si>
  <si>
    <t>cytokine production involved in inflammatory response</t>
  </si>
  <si>
    <t>GO:0071706</t>
  </si>
  <si>
    <t>tumor necrosis factor superfamily cytokine production</t>
  </si>
  <si>
    <t>GO:1903555</t>
  </si>
  <si>
    <t>regulation of tumor necrosis factor superfamily cytokine production</t>
  </si>
  <si>
    <t>GO:0050701</t>
  </si>
  <si>
    <t>interleukin-1 secretion</t>
  </si>
  <si>
    <t>GO:0014821</t>
  </si>
  <si>
    <t>phasic smooth muscle contraction</t>
  </si>
  <si>
    <t>GO:0010324</t>
  </si>
  <si>
    <t>membrane invagination</t>
  </si>
  <si>
    <t>GO:0051693</t>
  </si>
  <si>
    <t>actin filament capping</t>
  </si>
  <si>
    <t>GO:0030835</t>
  </si>
  <si>
    <t>negative regulation of actin filament depolymerization</t>
  </si>
  <si>
    <t>GO:0045010</t>
  </si>
  <si>
    <t>actin nucleation</t>
  </si>
  <si>
    <t>GO:0034704</t>
  </si>
  <si>
    <t>calcium channel complex</t>
  </si>
  <si>
    <t>CAR1-GEM_KO</t>
  </si>
  <si>
    <t>Day 0</t>
    <phoneticPr fontId="1" type="noConversion"/>
  </si>
  <si>
    <t>Day 4</t>
    <phoneticPr fontId="1" type="noConversion"/>
  </si>
  <si>
    <t>Day 8</t>
    <phoneticPr fontId="1" type="noConversion"/>
  </si>
  <si>
    <t>Timepoint</t>
  </si>
  <si>
    <t>figure_p</t>
    <phoneticPr fontId="1" type="noConversion"/>
  </si>
  <si>
    <t>p_Ctrl</t>
    <phoneticPr fontId="1" type="noConversion"/>
  </si>
  <si>
    <t>p_GEM OE</t>
    <phoneticPr fontId="1" type="noConversion"/>
  </si>
  <si>
    <t>Time [h]</t>
  </si>
  <si>
    <t>Speed mean</t>
    <phoneticPr fontId="1" type="noConversion"/>
  </si>
  <si>
    <t>StdDev</t>
  </si>
  <si>
    <t>figure_q</t>
    <phoneticPr fontId="1" type="noConversion"/>
  </si>
  <si>
    <t>No. of CAR-T cells in contact with cancer cells</t>
  </si>
  <si>
    <t>Group:Ctrl</t>
    <phoneticPr fontId="1" type="noConversion"/>
  </si>
  <si>
    <t>figure_r</t>
    <phoneticPr fontId="1" type="noConversion"/>
  </si>
  <si>
    <t>No. of cancer cells</t>
    <phoneticPr fontId="1" type="noConversion"/>
  </si>
  <si>
    <t>Time (h)</t>
  </si>
  <si>
    <t>Time (h)reality</t>
  </si>
  <si>
    <t>Selected -1</t>
  </si>
  <si>
    <t>Selected -2</t>
  </si>
  <si>
    <t>Selected -3</t>
  </si>
  <si>
    <t>Selected -4</t>
  </si>
  <si>
    <t>mean</t>
  </si>
  <si>
    <t>SD</t>
  </si>
  <si>
    <t>COUNT</t>
  </si>
  <si>
    <t>SEM</t>
  </si>
  <si>
    <t>CF405-1</t>
  </si>
  <si>
    <t>CF405-2</t>
  </si>
  <si>
    <t>CF405-3</t>
  </si>
  <si>
    <t>CF405-4</t>
  </si>
  <si>
    <t>q_Ctrl</t>
    <phoneticPr fontId="1" type="noConversion"/>
  </si>
  <si>
    <t>r_Ctrl</t>
    <phoneticPr fontId="1" type="noConversion"/>
  </si>
  <si>
    <t>Group:GEM OE</t>
    <phoneticPr fontId="1" type="noConversion"/>
  </si>
  <si>
    <t>q_GEM OE</t>
    <phoneticPr fontId="1" type="noConversion"/>
  </si>
  <si>
    <t>r_GEM OE</t>
    <phoneticPr fontId="1" type="noConversion"/>
  </si>
  <si>
    <t>Field-1</t>
    <phoneticPr fontId="1" type="noConversion"/>
  </si>
  <si>
    <t>Field-2</t>
    <phoneticPr fontId="1" type="noConversion"/>
  </si>
  <si>
    <t>Field-3</t>
    <phoneticPr fontId="1" type="noConversion"/>
  </si>
  <si>
    <t>Ctr_Speed meanl(nm/s)</t>
    <phoneticPr fontId="1" type="noConversion"/>
  </si>
  <si>
    <t>GEM OE_Speed meanl(nm/s)</t>
    <phoneticPr fontId="1" type="noConversion"/>
  </si>
  <si>
    <t>Mean velocity per field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</si>
</sst>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2"/>
      <color rgb="FF00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AA38-B2AB-4A1A-BC7E-4C5651DD732E}">
  <dimension ref="A1:G9"/>
  <sheetViews>
    <sheetView workbookViewId="0">
      <selection sqref="A1:G9"/>
    </sheetView>
  </sheetViews>
  <sheetFormatPr defaultRowHeight="14" x14ac:dyDescent="0.3"/>
  <sheetData>
    <row r="1" spans="1:7" x14ac:dyDescent="0.3">
      <c r="A1" t="s">
        <v>4</v>
      </c>
    </row>
    <row r="2" spans="1:7" x14ac:dyDescent="0.25">
      <c r="B2" s="9" t="s">
        <v>0</v>
      </c>
      <c r="C2" s="9"/>
      <c r="D2" s="9"/>
      <c r="E2" s="9" t="s">
        <v>1</v>
      </c>
      <c r="F2" s="9"/>
      <c r="G2" s="9"/>
    </row>
    <row r="3" spans="1:7" x14ac:dyDescent="0.25">
      <c r="A3" s="1" t="s">
        <v>2</v>
      </c>
      <c r="B3" s="2">
        <v>42.64884</v>
      </c>
      <c r="C3" s="2">
        <v>42.372129999999999</v>
      </c>
      <c r="D3" s="2">
        <v>39.484870000000001</v>
      </c>
      <c r="E3" s="2">
        <v>50.947279999999999</v>
      </c>
      <c r="F3" s="2">
        <v>52.789200000000001</v>
      </c>
      <c r="G3" s="2">
        <v>51.796959999999999</v>
      </c>
    </row>
    <row r="4" spans="1:7" x14ac:dyDescent="0.25">
      <c r="A4" s="1" t="s">
        <v>3</v>
      </c>
      <c r="B4" s="2">
        <v>22.6677</v>
      </c>
      <c r="C4" s="2">
        <v>24.51071</v>
      </c>
      <c r="D4" s="2">
        <v>20.9331</v>
      </c>
      <c r="E4" s="2">
        <v>35.133150000000001</v>
      </c>
      <c r="F4" s="2">
        <v>19.100919999999999</v>
      </c>
      <c r="G4" s="2">
        <v>29.48198</v>
      </c>
    </row>
    <row r="6" spans="1:7" x14ac:dyDescent="0.3">
      <c r="A6" t="s">
        <v>5</v>
      </c>
    </row>
    <row r="7" spans="1:7" x14ac:dyDescent="0.25">
      <c r="B7" s="9" t="s">
        <v>0</v>
      </c>
      <c r="C7" s="9"/>
      <c r="D7" s="9"/>
      <c r="E7" s="9" t="s">
        <v>1</v>
      </c>
      <c r="F7" s="9"/>
      <c r="G7" s="9"/>
    </row>
    <row r="8" spans="1:7" x14ac:dyDescent="0.25">
      <c r="A8" s="1" t="s">
        <v>2</v>
      </c>
      <c r="B8" s="2">
        <v>28.70476</v>
      </c>
      <c r="C8" s="2">
        <v>27.868939999999998</v>
      </c>
      <c r="D8" s="2">
        <v>29.864730000000002</v>
      </c>
      <c r="E8" s="2">
        <v>41.394509999999997</v>
      </c>
      <c r="F8" s="2">
        <v>39.972349999999999</v>
      </c>
      <c r="G8" s="2">
        <v>41.76634</v>
      </c>
    </row>
    <row r="9" spans="1:7" x14ac:dyDescent="0.25">
      <c r="A9" s="1" t="s">
        <v>3</v>
      </c>
      <c r="B9" s="2">
        <v>7.0834910000000004</v>
      </c>
      <c r="C9" s="2">
        <v>5.0930530000000003</v>
      </c>
      <c r="D9" s="2">
        <v>8.6789889999999996</v>
      </c>
      <c r="E9" s="2">
        <v>30.867049999999999</v>
      </c>
      <c r="F9" s="2">
        <v>28.446190000000001</v>
      </c>
      <c r="G9" s="2">
        <v>28.289709999999999</v>
      </c>
    </row>
  </sheetData>
  <mergeCells count="4">
    <mergeCell ref="E2:G2"/>
    <mergeCell ref="B2:D2"/>
    <mergeCell ref="B7:D7"/>
    <mergeCell ref="E7:G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84BF-CF79-4A46-9D98-A65CEE260B46}">
  <dimension ref="A1:G10"/>
  <sheetViews>
    <sheetView workbookViewId="0">
      <selection sqref="A1:G10"/>
    </sheetView>
  </sheetViews>
  <sheetFormatPr defaultRowHeight="14" x14ac:dyDescent="0.3"/>
  <sheetData>
    <row r="1" spans="1:7" x14ac:dyDescent="0.3">
      <c r="A1" t="s">
        <v>8</v>
      </c>
    </row>
    <row r="2" spans="1:7" x14ac:dyDescent="0.25">
      <c r="B2" s="9" t="s">
        <v>6</v>
      </c>
      <c r="C2" s="9"/>
      <c r="D2" s="9"/>
      <c r="E2" s="9" t="s">
        <v>7</v>
      </c>
      <c r="F2" s="9"/>
      <c r="G2" s="9"/>
    </row>
    <row r="3" spans="1:7" x14ac:dyDescent="0.25">
      <c r="A3" s="1" t="s">
        <v>2</v>
      </c>
      <c r="B3" s="2">
        <v>23.458189999999998</v>
      </c>
      <c r="C3" s="2">
        <v>19.2349</v>
      </c>
      <c r="D3" s="2">
        <v>22.242349999999998</v>
      </c>
      <c r="E3" s="2">
        <v>43.336419999999997</v>
      </c>
      <c r="F3" s="2">
        <v>48.979579999999999</v>
      </c>
      <c r="G3" s="2">
        <v>44.074309999999997</v>
      </c>
    </row>
    <row r="4" spans="1:7" x14ac:dyDescent="0.25">
      <c r="A4" s="1" t="s">
        <v>3</v>
      </c>
      <c r="B4" s="2">
        <v>6.1062729999999998</v>
      </c>
      <c r="C4" s="2">
        <v>1.9409529999999999</v>
      </c>
      <c r="D4" s="2">
        <v>1.0023299999999999</v>
      </c>
      <c r="E4" s="2">
        <v>24.93901</v>
      </c>
      <c r="F4" s="2">
        <v>27.339009999999998</v>
      </c>
      <c r="G4" s="2">
        <v>27.589359999999999</v>
      </c>
    </row>
    <row r="7" spans="1:7" x14ac:dyDescent="0.3">
      <c r="A7" t="s">
        <v>9</v>
      </c>
    </row>
    <row r="8" spans="1:7" x14ac:dyDescent="0.25">
      <c r="B8" s="9" t="s">
        <v>6</v>
      </c>
      <c r="C8" s="9"/>
      <c r="D8" s="9"/>
      <c r="E8" s="9" t="s">
        <v>7</v>
      </c>
      <c r="F8" s="9"/>
      <c r="G8" s="9"/>
    </row>
    <row r="9" spans="1:7" x14ac:dyDescent="0.25">
      <c r="A9" s="1" t="s">
        <v>2</v>
      </c>
      <c r="B9" s="2">
        <v>4.6298209999999997</v>
      </c>
      <c r="C9" s="2">
        <v>5.4735800000000001</v>
      </c>
      <c r="D9" s="2">
        <v>3.2362679999999999</v>
      </c>
      <c r="E9" s="2">
        <v>33.605229999999999</v>
      </c>
      <c r="F9" s="2">
        <v>33.527369999999998</v>
      </c>
      <c r="G9" s="2">
        <v>35.44529</v>
      </c>
    </row>
    <row r="10" spans="1:7" x14ac:dyDescent="0.25">
      <c r="A10" s="1" t="s">
        <v>3</v>
      </c>
      <c r="B10" s="2">
        <v>4.5203100000000003</v>
      </c>
      <c r="C10" s="2">
        <v>5.4895670000000001</v>
      </c>
      <c r="D10" s="2">
        <v>0.430863</v>
      </c>
      <c r="E10" s="2">
        <v>26.39536</v>
      </c>
      <c r="F10" s="2">
        <v>19.979620000000001</v>
      </c>
      <c r="G10" s="2">
        <v>25.218990000000002</v>
      </c>
    </row>
  </sheetData>
  <mergeCells count="4">
    <mergeCell ref="B2:D2"/>
    <mergeCell ref="E2:G2"/>
    <mergeCell ref="B8:D8"/>
    <mergeCell ref="E8:G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A73A-35EB-4168-AFEA-FD2910793AE2}">
  <dimension ref="A1:I4"/>
  <sheetViews>
    <sheetView workbookViewId="0">
      <selection sqref="A1:I4"/>
    </sheetView>
  </sheetViews>
  <sheetFormatPr defaultRowHeight="14" x14ac:dyDescent="0.3"/>
  <sheetData>
    <row r="1" spans="1:9" x14ac:dyDescent="0.25">
      <c r="B1" s="10" t="s">
        <v>17</v>
      </c>
      <c r="C1" s="10"/>
      <c r="D1" s="10"/>
      <c r="E1" s="10"/>
      <c r="F1" s="9" t="s">
        <v>89</v>
      </c>
      <c r="G1" s="11"/>
      <c r="H1" s="11"/>
      <c r="I1" s="11"/>
    </row>
    <row r="2" spans="1:9" x14ac:dyDescent="0.25">
      <c r="A2" t="s">
        <v>90</v>
      </c>
      <c r="B2" s="2">
        <v>69.667400000000001</v>
      </c>
      <c r="C2" s="2">
        <v>60.415759999999999</v>
      </c>
      <c r="D2" s="2">
        <v>59.523980000000002</v>
      </c>
      <c r="E2" s="2">
        <v>59.378329999999998</v>
      </c>
      <c r="F2" s="2">
        <v>69.51079</v>
      </c>
      <c r="G2" s="2">
        <v>64.828010000000006</v>
      </c>
      <c r="H2" s="2">
        <v>58.329329999999999</v>
      </c>
      <c r="I2" s="2">
        <v>56.773470000000003</v>
      </c>
    </row>
    <row r="3" spans="1:9" x14ac:dyDescent="0.25">
      <c r="A3" t="s">
        <v>91</v>
      </c>
      <c r="B3" s="2">
        <v>124.294</v>
      </c>
      <c r="C3" s="2">
        <v>125.50530000000001</v>
      </c>
      <c r="D3" s="2">
        <v>136.45609999999999</v>
      </c>
      <c r="E3" s="2">
        <v>138.81290000000001</v>
      </c>
      <c r="F3" s="2">
        <v>95.117289999999997</v>
      </c>
      <c r="G3" s="2">
        <v>96.592529999999996</v>
      </c>
      <c r="H3" s="2">
        <v>107.15300000000001</v>
      </c>
      <c r="I3" s="2">
        <v>79.021699999999996</v>
      </c>
    </row>
    <row r="4" spans="1:9" x14ac:dyDescent="0.25">
      <c r="A4" t="s">
        <v>92</v>
      </c>
      <c r="B4" s="2">
        <v>183.71080000000001</v>
      </c>
      <c r="C4" s="2">
        <v>241.36109999999999</v>
      </c>
      <c r="D4" s="2">
        <v>299.55610000000001</v>
      </c>
      <c r="E4" s="2">
        <v>210.38579999999999</v>
      </c>
      <c r="F4" s="2">
        <v>105.4162</v>
      </c>
      <c r="G4" s="2">
        <v>177.3647</v>
      </c>
      <c r="H4" s="2">
        <v>156.47389999999999</v>
      </c>
      <c r="I4" s="2">
        <v>174.84809999999999</v>
      </c>
    </row>
  </sheetData>
  <mergeCells count="2">
    <mergeCell ref="B1:E1"/>
    <mergeCell ref="F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0B83-7233-439D-BAFC-F9653961C0A1}">
  <dimension ref="A1:J10"/>
  <sheetViews>
    <sheetView workbookViewId="0">
      <selection sqref="A1:J10"/>
    </sheetView>
  </sheetViews>
  <sheetFormatPr defaultRowHeight="14" x14ac:dyDescent="0.3"/>
  <sheetData>
    <row r="1" spans="1:10" x14ac:dyDescent="0.3">
      <c r="A1" t="s">
        <v>10</v>
      </c>
    </row>
    <row r="2" spans="1:10" x14ac:dyDescent="0.25">
      <c r="B2" s="9" t="s">
        <v>11</v>
      </c>
      <c r="C2" s="9"/>
      <c r="D2" s="9"/>
      <c r="E2" s="9" t="s">
        <v>0</v>
      </c>
      <c r="F2" s="9"/>
      <c r="G2" s="9"/>
      <c r="H2" s="9" t="s">
        <v>1</v>
      </c>
      <c r="I2" s="9"/>
      <c r="J2" s="9"/>
    </row>
    <row r="3" spans="1:10" x14ac:dyDescent="0.25">
      <c r="A3" s="1" t="s">
        <v>12</v>
      </c>
      <c r="B3" s="2">
        <v>24.588609999999999</v>
      </c>
      <c r="C3" s="2">
        <v>19.547170000000001</v>
      </c>
      <c r="D3" s="2">
        <v>21.779959999999999</v>
      </c>
      <c r="E3" s="2">
        <v>52.591700000000003</v>
      </c>
      <c r="F3" s="2">
        <v>51.385899999999999</v>
      </c>
      <c r="G3" s="2">
        <v>53.195920000000001</v>
      </c>
      <c r="H3" s="2">
        <v>225.5145</v>
      </c>
      <c r="I3" s="2">
        <v>188.98220000000001</v>
      </c>
      <c r="J3" s="2">
        <v>194.74680000000001</v>
      </c>
    </row>
    <row r="4" spans="1:10" x14ac:dyDescent="0.25">
      <c r="A4" s="1" t="s">
        <v>13</v>
      </c>
      <c r="B4" s="2">
        <v>20.104199999999999</v>
      </c>
      <c r="C4" s="2">
        <v>19.547170000000001</v>
      </c>
      <c r="D4" s="2">
        <v>18.990919999999999</v>
      </c>
      <c r="E4" s="2">
        <v>43.632829999999998</v>
      </c>
      <c r="F4" s="2">
        <v>44.224060000000001</v>
      </c>
      <c r="G4" s="2">
        <v>45.409089999999999</v>
      </c>
      <c r="H4" s="2">
        <v>116.3064</v>
      </c>
      <c r="I4" s="2">
        <v>140.02250000000001</v>
      </c>
      <c r="J4" s="2">
        <v>129.0882</v>
      </c>
    </row>
    <row r="7" spans="1:10" x14ac:dyDescent="0.3">
      <c r="A7" t="s">
        <v>14</v>
      </c>
    </row>
    <row r="8" spans="1:10" x14ac:dyDescent="0.25">
      <c r="B8" s="9" t="s">
        <v>11</v>
      </c>
      <c r="C8" s="9"/>
      <c r="D8" s="9"/>
      <c r="E8" s="9" t="s">
        <v>0</v>
      </c>
      <c r="F8" s="9"/>
      <c r="G8" s="9"/>
      <c r="H8" s="9" t="s">
        <v>1</v>
      </c>
      <c r="I8" s="9"/>
      <c r="J8" s="9"/>
    </row>
    <row r="9" spans="1:10" x14ac:dyDescent="0.25">
      <c r="A9" s="1" t="s">
        <v>12</v>
      </c>
      <c r="B9" s="2">
        <v>5.586684</v>
      </c>
      <c r="C9" s="2">
        <v>5.586684</v>
      </c>
      <c r="D9" s="2">
        <v>9.5418590000000005</v>
      </c>
      <c r="E9" s="2">
        <v>933.07510000000002</v>
      </c>
      <c r="F9" s="2">
        <v>787.72249999999997</v>
      </c>
      <c r="G9" s="2">
        <v>821.3415</v>
      </c>
      <c r="H9" s="2">
        <v>2119.6280000000002</v>
      </c>
      <c r="I9" s="2">
        <v>1929.779</v>
      </c>
      <c r="J9" s="2">
        <v>1815.079</v>
      </c>
    </row>
    <row r="10" spans="1:10" x14ac:dyDescent="0.25">
      <c r="A10" s="1" t="s">
        <v>13</v>
      </c>
      <c r="B10" s="2">
        <v>13.497030000000001</v>
      </c>
      <c r="C10" s="2">
        <v>7.5642719999999999</v>
      </c>
      <c r="D10" s="2">
        <v>4.5978909999999997</v>
      </c>
      <c r="E10" s="2">
        <v>1196.0940000000001</v>
      </c>
      <c r="F10" s="2">
        <v>955.81740000000002</v>
      </c>
      <c r="G10" s="2">
        <v>881.65790000000004</v>
      </c>
      <c r="H10" s="2">
        <v>1790.3589999999999</v>
      </c>
      <c r="I10" s="2">
        <v>1728.0650000000001</v>
      </c>
      <c r="J10" s="2">
        <v>1746.8520000000001</v>
      </c>
    </row>
  </sheetData>
  <mergeCells count="6">
    <mergeCell ref="B2:D2"/>
    <mergeCell ref="E2:G2"/>
    <mergeCell ref="H2:J2"/>
    <mergeCell ref="B8:D8"/>
    <mergeCell ref="E8:G8"/>
    <mergeCell ref="H8:J8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1911-D93C-4016-8DAF-8D622A973BE7}">
  <dimension ref="A1:J10"/>
  <sheetViews>
    <sheetView workbookViewId="0">
      <selection sqref="A1:J10"/>
    </sheetView>
  </sheetViews>
  <sheetFormatPr defaultRowHeight="14" x14ac:dyDescent="0.3"/>
  <sheetData>
    <row r="1" spans="1:10" x14ac:dyDescent="0.3">
      <c r="A1" t="s">
        <v>15</v>
      </c>
    </row>
    <row r="2" spans="1:10" x14ac:dyDescent="0.25">
      <c r="B2" s="9" t="s">
        <v>11</v>
      </c>
      <c r="C2" s="9"/>
      <c r="D2" s="9"/>
      <c r="E2" s="9" t="s">
        <v>0</v>
      </c>
      <c r="F2" s="9"/>
      <c r="G2" s="9"/>
      <c r="H2" s="9" t="s">
        <v>1</v>
      </c>
      <c r="I2" s="9"/>
      <c r="J2" s="9"/>
    </row>
    <row r="3" spans="1:10" x14ac:dyDescent="0.25">
      <c r="A3" s="1" t="s">
        <v>12</v>
      </c>
      <c r="B3" s="2">
        <v>24.588609999999999</v>
      </c>
      <c r="C3" s="2">
        <v>19.547170000000001</v>
      </c>
      <c r="D3" s="2">
        <v>21.779959999999999</v>
      </c>
      <c r="E3" s="2">
        <v>51.385899999999999</v>
      </c>
      <c r="F3" s="2">
        <v>43.042450000000002</v>
      </c>
      <c r="G3" s="2">
        <v>43.632829999999998</v>
      </c>
      <c r="H3" s="2">
        <v>156.5455</v>
      </c>
      <c r="I3" s="2">
        <v>170.5137</v>
      </c>
      <c r="J3" s="2">
        <v>159.6138</v>
      </c>
    </row>
    <row r="4" spans="1:10" x14ac:dyDescent="0.25">
      <c r="A4" s="1" t="s">
        <v>13</v>
      </c>
      <c r="B4" s="2">
        <v>20.104199999999999</v>
      </c>
      <c r="C4" s="2">
        <v>19.547170000000001</v>
      </c>
      <c r="D4" s="2">
        <v>18.990919999999999</v>
      </c>
      <c r="E4" s="2">
        <v>39.517910000000001</v>
      </c>
      <c r="F4" s="2">
        <v>38.349789999999999</v>
      </c>
      <c r="G4" s="2">
        <v>46.002890000000001</v>
      </c>
      <c r="H4" s="2">
        <v>110.7407</v>
      </c>
      <c r="I4" s="2">
        <v>116.3064</v>
      </c>
      <c r="J4" s="2">
        <v>95.786370000000005</v>
      </c>
    </row>
    <row r="7" spans="1:10" x14ac:dyDescent="0.3">
      <c r="A7" t="s">
        <v>16</v>
      </c>
    </row>
    <row r="8" spans="1:10" x14ac:dyDescent="0.25">
      <c r="B8" s="9" t="s">
        <v>11</v>
      </c>
      <c r="C8" s="9"/>
      <c r="D8" s="9"/>
      <c r="E8" s="9" t="s">
        <v>0</v>
      </c>
      <c r="F8" s="9"/>
      <c r="G8" s="9"/>
      <c r="H8" s="9" t="s">
        <v>1</v>
      </c>
      <c r="I8" s="9"/>
      <c r="J8" s="9"/>
    </row>
    <row r="9" spans="1:10" x14ac:dyDescent="0.25">
      <c r="A9" s="1" t="s">
        <v>12</v>
      </c>
      <c r="B9" s="2">
        <v>5.586684</v>
      </c>
      <c r="C9" s="2">
        <v>5.586684</v>
      </c>
      <c r="D9" s="2">
        <v>9.5418590000000005</v>
      </c>
      <c r="E9" s="2">
        <v>363.53</v>
      </c>
      <c r="F9" s="2">
        <v>391.21620000000001</v>
      </c>
      <c r="G9" s="2">
        <v>401.10419999999999</v>
      </c>
      <c r="H9" s="2">
        <v>1422.528</v>
      </c>
      <c r="I9" s="2">
        <v>1458.125</v>
      </c>
      <c r="J9" s="2">
        <v>1349.357</v>
      </c>
    </row>
    <row r="10" spans="1:10" x14ac:dyDescent="0.25">
      <c r="A10" s="1" t="s">
        <v>13</v>
      </c>
      <c r="B10" s="2">
        <v>13.497030000000001</v>
      </c>
      <c r="C10" s="2">
        <v>7.5642719999999999</v>
      </c>
      <c r="D10" s="2">
        <v>4.5978909999999997</v>
      </c>
      <c r="E10" s="2">
        <v>423.84640000000002</v>
      </c>
      <c r="F10" s="2">
        <v>313.10149999999999</v>
      </c>
      <c r="G10" s="2">
        <v>312.11270000000002</v>
      </c>
      <c r="H10" s="2">
        <v>1000.313</v>
      </c>
      <c r="I10" s="2">
        <v>877.70270000000005</v>
      </c>
      <c r="J10" s="2">
        <v>811.45349999999996</v>
      </c>
    </row>
  </sheetData>
  <mergeCells count="6">
    <mergeCell ref="B2:D2"/>
    <mergeCell ref="E2:G2"/>
    <mergeCell ref="H2:J2"/>
    <mergeCell ref="B8:D8"/>
    <mergeCell ref="E8:G8"/>
    <mergeCell ref="H8:J8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C80D-F762-49CD-BB33-035B7C56DEF7}">
  <dimension ref="A1:M15"/>
  <sheetViews>
    <sheetView zoomScale="90" zoomScaleNormal="90" workbookViewId="0">
      <selection activeCell="H4" sqref="H4:M4"/>
    </sheetView>
  </sheetViews>
  <sheetFormatPr defaultRowHeight="14" x14ac:dyDescent="0.3"/>
  <sheetData>
    <row r="1" spans="1:13" x14ac:dyDescent="0.3">
      <c r="A1" t="s">
        <v>23</v>
      </c>
    </row>
    <row r="2" spans="1:13" x14ac:dyDescent="0.25">
      <c r="B2" s="9" t="s">
        <v>17</v>
      </c>
      <c r="C2" s="9"/>
      <c r="D2" s="9"/>
      <c r="E2" s="9"/>
      <c r="F2" s="9"/>
      <c r="G2" s="9"/>
      <c r="H2" s="9" t="s">
        <v>1</v>
      </c>
      <c r="I2" s="9"/>
      <c r="J2" s="9"/>
      <c r="K2" s="9"/>
      <c r="L2" s="9"/>
      <c r="M2" s="9"/>
    </row>
    <row r="3" spans="1:13" x14ac:dyDescent="0.25">
      <c r="A3" s="1" t="s">
        <v>18</v>
      </c>
      <c r="B3" s="2">
        <v>17</v>
      </c>
      <c r="C3" s="2"/>
      <c r="D3" s="2"/>
      <c r="E3" s="2"/>
      <c r="F3" s="2"/>
      <c r="G3" s="2"/>
      <c r="H3" s="2">
        <v>17</v>
      </c>
      <c r="I3" s="2"/>
      <c r="J3" s="2"/>
      <c r="K3" s="2"/>
      <c r="L3" s="2"/>
      <c r="M3" s="2"/>
    </row>
    <row r="4" spans="1:13" x14ac:dyDescent="0.25">
      <c r="A4" s="1" t="s">
        <v>19</v>
      </c>
      <c r="B4" s="2">
        <v>23.56</v>
      </c>
      <c r="C4" s="2">
        <v>22.59</v>
      </c>
      <c r="D4" s="2">
        <v>27.08</v>
      </c>
      <c r="E4" s="2">
        <v>27.17</v>
      </c>
      <c r="F4" s="2"/>
      <c r="G4" s="2"/>
      <c r="H4" s="2">
        <v>43.8</v>
      </c>
      <c r="I4" s="2">
        <v>43.94</v>
      </c>
      <c r="J4" s="2">
        <v>44.03</v>
      </c>
      <c r="K4" s="2">
        <v>46.71</v>
      </c>
      <c r="L4" s="2">
        <v>46.47</v>
      </c>
      <c r="M4" s="2">
        <v>46.49</v>
      </c>
    </row>
    <row r="5" spans="1:13" x14ac:dyDescent="0.25">
      <c r="A5" s="1" t="s">
        <v>20</v>
      </c>
      <c r="B5" s="2">
        <v>36.61</v>
      </c>
      <c r="C5" s="2">
        <v>35.340000000000003</v>
      </c>
      <c r="D5" s="2">
        <v>33.79</v>
      </c>
      <c r="E5" s="2">
        <v>33.130000000000003</v>
      </c>
      <c r="F5" s="2">
        <v>33.43</v>
      </c>
      <c r="G5" s="2">
        <v>32.93</v>
      </c>
      <c r="H5" s="2">
        <v>64.41</v>
      </c>
      <c r="I5" s="2">
        <v>63.45</v>
      </c>
      <c r="J5" s="2">
        <v>62.63</v>
      </c>
      <c r="K5" s="2">
        <v>65.180000000000007</v>
      </c>
      <c r="L5" s="2">
        <v>65.099999999999994</v>
      </c>
      <c r="M5" s="2">
        <v>65.23</v>
      </c>
    </row>
    <row r="6" spans="1:13" x14ac:dyDescent="0.25">
      <c r="A6" s="1" t="s">
        <v>21</v>
      </c>
      <c r="B6" s="2">
        <v>53.33</v>
      </c>
      <c r="C6" s="2">
        <v>51.66</v>
      </c>
      <c r="D6" s="2">
        <v>51.44</v>
      </c>
      <c r="E6" s="2">
        <v>51.75</v>
      </c>
      <c r="F6" s="2">
        <v>51.04</v>
      </c>
      <c r="G6" s="2">
        <v>51.94</v>
      </c>
      <c r="H6" s="2">
        <v>77.64</v>
      </c>
      <c r="I6" s="2">
        <v>77.42</v>
      </c>
      <c r="J6" s="2">
        <v>77.150000000000006</v>
      </c>
      <c r="K6" s="2">
        <v>77.06</v>
      </c>
      <c r="L6" s="2">
        <v>76.55</v>
      </c>
      <c r="M6" s="2">
        <v>76.72</v>
      </c>
    </row>
    <row r="7" spans="1:13" x14ac:dyDescent="0.25">
      <c r="A7" s="1" t="s">
        <v>22</v>
      </c>
      <c r="B7" s="2">
        <v>45.27</v>
      </c>
      <c r="C7" s="2">
        <v>44.41</v>
      </c>
      <c r="D7" s="2">
        <v>43.7</v>
      </c>
      <c r="E7" s="2">
        <v>43.91</v>
      </c>
      <c r="F7" s="2">
        <v>43.34</v>
      </c>
      <c r="G7" s="2">
        <v>42.71</v>
      </c>
      <c r="H7" s="2">
        <v>77.37</v>
      </c>
      <c r="I7" s="2">
        <v>77.11</v>
      </c>
      <c r="J7" s="2">
        <v>77.11</v>
      </c>
      <c r="K7" s="2">
        <v>80.31</v>
      </c>
      <c r="L7" s="2">
        <v>79.989999999999995</v>
      </c>
      <c r="M7" s="2">
        <v>79.89</v>
      </c>
    </row>
    <row r="9" spans="1:13" x14ac:dyDescent="0.3">
      <c r="A9" t="s">
        <v>24</v>
      </c>
    </row>
    <row r="10" spans="1:13" x14ac:dyDescent="0.25">
      <c r="B10" s="9" t="s">
        <v>25</v>
      </c>
      <c r="C10" s="9"/>
      <c r="D10" s="9"/>
      <c r="E10" s="9"/>
      <c r="F10" s="9"/>
      <c r="G10" s="9"/>
      <c r="H10" s="9" t="s">
        <v>26</v>
      </c>
      <c r="I10" s="9"/>
      <c r="J10" s="9"/>
      <c r="K10" s="9"/>
      <c r="L10" s="9"/>
      <c r="M10" s="9"/>
    </row>
    <row r="11" spans="1:13" x14ac:dyDescent="0.25">
      <c r="A11" s="1" t="s">
        <v>18</v>
      </c>
      <c r="B11" s="2">
        <v>35</v>
      </c>
      <c r="C11" s="2"/>
      <c r="D11" s="2"/>
      <c r="E11" s="2"/>
      <c r="F11" s="2"/>
      <c r="G11" s="2"/>
      <c r="H11" s="2">
        <v>35</v>
      </c>
      <c r="I11" s="2"/>
      <c r="J11" s="2"/>
      <c r="K11" s="2"/>
      <c r="L11" s="2"/>
      <c r="M11" s="2"/>
    </row>
    <row r="12" spans="1:13" x14ac:dyDescent="0.25">
      <c r="A12" s="1" t="s">
        <v>19</v>
      </c>
      <c r="B12" s="2">
        <v>55.98</v>
      </c>
      <c r="C12" s="2">
        <v>55.58</v>
      </c>
      <c r="D12" s="2">
        <v>54.68</v>
      </c>
      <c r="E12" s="2">
        <v>55.04</v>
      </c>
      <c r="F12" s="2"/>
      <c r="G12" s="2"/>
      <c r="H12" s="2">
        <v>71.12</v>
      </c>
      <c r="I12" s="2">
        <v>72.77</v>
      </c>
      <c r="J12" s="2">
        <v>71.2</v>
      </c>
      <c r="K12" s="2">
        <v>73.59</v>
      </c>
      <c r="L12" s="2">
        <v>73.06</v>
      </c>
      <c r="M12" s="2">
        <v>73.33</v>
      </c>
    </row>
    <row r="13" spans="1:13" x14ac:dyDescent="0.25">
      <c r="A13" s="1" t="s">
        <v>20</v>
      </c>
      <c r="B13" s="2">
        <v>77.599999999999994</v>
      </c>
      <c r="C13" s="2">
        <v>73.680000000000007</v>
      </c>
      <c r="D13" s="2">
        <v>72.41</v>
      </c>
      <c r="E13" s="2">
        <v>73.12</v>
      </c>
      <c r="F13" s="2">
        <v>74.52</v>
      </c>
      <c r="G13" s="2">
        <v>74.08</v>
      </c>
      <c r="H13" s="2">
        <v>85.31</v>
      </c>
      <c r="I13" s="2">
        <v>85.99</v>
      </c>
      <c r="J13" s="2">
        <v>85.37</v>
      </c>
      <c r="K13" s="2">
        <v>85.31</v>
      </c>
      <c r="L13" s="2">
        <v>85.06</v>
      </c>
      <c r="M13" s="2">
        <v>85.97</v>
      </c>
    </row>
    <row r="14" spans="1:13" x14ac:dyDescent="0.25">
      <c r="A14" s="1" t="s">
        <v>21</v>
      </c>
      <c r="B14" s="2">
        <v>77.98</v>
      </c>
      <c r="C14" s="2">
        <v>77.23</v>
      </c>
      <c r="D14" s="2">
        <v>78.180000000000007</v>
      </c>
      <c r="E14" s="2">
        <v>79.5</v>
      </c>
      <c r="F14" s="2">
        <v>79.87</v>
      </c>
      <c r="G14" s="2">
        <v>79.31</v>
      </c>
      <c r="H14" s="2">
        <v>86.96</v>
      </c>
      <c r="I14" s="2">
        <v>87.57</v>
      </c>
      <c r="J14" s="2">
        <v>86.52</v>
      </c>
      <c r="K14" s="2">
        <v>86.09</v>
      </c>
      <c r="L14" s="2">
        <v>87.18</v>
      </c>
      <c r="M14" s="2">
        <v>87.09</v>
      </c>
    </row>
    <row r="15" spans="1:13" x14ac:dyDescent="0.25">
      <c r="A15" s="1" t="s">
        <v>22</v>
      </c>
      <c r="B15" s="2">
        <v>66.459999999999994</v>
      </c>
      <c r="C15" s="2">
        <v>65.180000000000007</v>
      </c>
      <c r="D15" s="2">
        <v>66.900000000000006</v>
      </c>
      <c r="E15" s="2">
        <v>66.14</v>
      </c>
      <c r="F15" s="2">
        <v>66.69</v>
      </c>
      <c r="G15" s="2">
        <v>67.430000000000007</v>
      </c>
      <c r="H15" s="2">
        <v>84.67</v>
      </c>
      <c r="I15" s="2">
        <v>84.93</v>
      </c>
      <c r="J15" s="2">
        <v>83.99</v>
      </c>
      <c r="K15" s="2">
        <v>85.42</v>
      </c>
      <c r="L15" s="2">
        <v>86.67</v>
      </c>
      <c r="M15" s="2">
        <v>85.58</v>
      </c>
    </row>
  </sheetData>
  <mergeCells count="4">
    <mergeCell ref="B2:G2"/>
    <mergeCell ref="H2:M2"/>
    <mergeCell ref="B10:G10"/>
    <mergeCell ref="H10:M1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6E82-37E3-44BF-911E-169CA5961DAC}">
  <dimension ref="A1:I13"/>
  <sheetViews>
    <sheetView workbookViewId="0">
      <selection activeCell="J20" sqref="J20"/>
    </sheetView>
  </sheetViews>
  <sheetFormatPr defaultRowHeight="14" x14ac:dyDescent="0.3"/>
  <sheetData>
    <row r="1" spans="1:9" x14ac:dyDescent="0.3">
      <c r="A1" t="s">
        <v>32</v>
      </c>
    </row>
    <row r="2" spans="1:9" x14ac:dyDescent="0.25">
      <c r="B2" s="9" t="s">
        <v>33</v>
      </c>
      <c r="C2" s="9"/>
      <c r="D2" s="9"/>
      <c r="E2" s="9"/>
      <c r="F2" s="9" t="s">
        <v>34</v>
      </c>
      <c r="G2" s="9"/>
      <c r="H2" s="9"/>
      <c r="I2" s="9"/>
    </row>
    <row r="3" spans="1:9" x14ac:dyDescent="0.25">
      <c r="A3" s="1" t="s">
        <v>27</v>
      </c>
      <c r="B3" s="2">
        <v>0.16</v>
      </c>
      <c r="C3" s="2">
        <v>0.15</v>
      </c>
      <c r="D3" s="2">
        <v>0.22</v>
      </c>
      <c r="E3" s="2">
        <v>0.15</v>
      </c>
      <c r="F3" s="2">
        <v>0.39</v>
      </c>
      <c r="G3" s="2">
        <v>0.6</v>
      </c>
      <c r="H3" s="2">
        <v>0.67</v>
      </c>
      <c r="I3" s="2">
        <v>0.22</v>
      </c>
    </row>
    <row r="4" spans="1:9" x14ac:dyDescent="0.25">
      <c r="A4" s="1" t="s">
        <v>28</v>
      </c>
      <c r="B4" s="2">
        <v>19.79</v>
      </c>
      <c r="C4" s="2">
        <v>11.1</v>
      </c>
      <c r="D4" s="2">
        <v>18.739999999999998</v>
      </c>
      <c r="E4" s="2">
        <v>14.45</v>
      </c>
      <c r="F4" s="2">
        <v>8.36</v>
      </c>
      <c r="G4" s="2">
        <v>6.63</v>
      </c>
      <c r="H4" s="2">
        <v>9.1199999999999992</v>
      </c>
      <c r="I4" s="2">
        <v>9.51</v>
      </c>
    </row>
    <row r="5" spans="1:9" x14ac:dyDescent="0.25">
      <c r="A5" s="1" t="s">
        <v>29</v>
      </c>
      <c r="B5" s="2">
        <v>48.35</v>
      </c>
      <c r="C5" s="2">
        <v>54.97</v>
      </c>
      <c r="D5" s="2">
        <v>45.46</v>
      </c>
      <c r="E5" s="2">
        <v>51.76</v>
      </c>
      <c r="F5" s="2">
        <v>61.76</v>
      </c>
      <c r="G5" s="2">
        <v>67.3</v>
      </c>
      <c r="H5" s="2">
        <v>62.33</v>
      </c>
      <c r="I5" s="2">
        <v>59.64</v>
      </c>
    </row>
    <row r="6" spans="1:9" x14ac:dyDescent="0.25">
      <c r="A6" s="1" t="s">
        <v>30</v>
      </c>
      <c r="B6" s="2">
        <v>31.71</v>
      </c>
      <c r="C6" s="2">
        <v>33.78</v>
      </c>
      <c r="D6" s="2">
        <v>35.58</v>
      </c>
      <c r="E6" s="2">
        <v>33.64</v>
      </c>
      <c r="F6" s="2">
        <v>29.49</v>
      </c>
      <c r="G6" s="2">
        <v>25.47</v>
      </c>
      <c r="H6" s="2">
        <v>27.88</v>
      </c>
      <c r="I6" s="2">
        <v>30.63</v>
      </c>
    </row>
    <row r="8" spans="1:9" x14ac:dyDescent="0.3">
      <c r="A8" t="s">
        <v>31</v>
      </c>
    </row>
    <row r="9" spans="1:9" x14ac:dyDescent="0.25">
      <c r="B9" s="9" t="s">
        <v>6</v>
      </c>
      <c r="C9" s="9"/>
      <c r="D9" s="9"/>
      <c r="E9" s="9"/>
      <c r="F9" s="9" t="s">
        <v>7</v>
      </c>
      <c r="G9" s="9"/>
      <c r="H9" s="9"/>
      <c r="I9" s="9"/>
    </row>
    <row r="10" spans="1:9" x14ac:dyDescent="0.25">
      <c r="A10" s="1" t="s">
        <v>27</v>
      </c>
      <c r="B10" s="2">
        <v>0.1</v>
      </c>
      <c r="C10" s="2">
        <v>0.1</v>
      </c>
      <c r="D10" s="2">
        <v>0.15</v>
      </c>
      <c r="E10" s="2">
        <v>0.15</v>
      </c>
      <c r="F10" s="2">
        <v>5.0000000000000001E-3</v>
      </c>
      <c r="G10" s="2">
        <v>0.26</v>
      </c>
      <c r="H10" s="2">
        <v>0.1</v>
      </c>
      <c r="I10" s="2">
        <v>0.22</v>
      </c>
    </row>
    <row r="11" spans="1:9" x14ac:dyDescent="0.25">
      <c r="A11" s="1" t="s">
        <v>28</v>
      </c>
      <c r="B11" s="2">
        <v>12.6</v>
      </c>
      <c r="C11" s="2">
        <v>11.23</v>
      </c>
      <c r="D11" s="2">
        <v>7.47</v>
      </c>
      <c r="E11" s="2">
        <v>8.35</v>
      </c>
      <c r="F11" s="2">
        <v>1.57</v>
      </c>
      <c r="G11" s="2">
        <v>2.0499999999999998</v>
      </c>
      <c r="H11" s="2">
        <v>1.25</v>
      </c>
      <c r="I11" s="2">
        <v>1.72</v>
      </c>
    </row>
    <row r="12" spans="1:9" x14ac:dyDescent="0.25">
      <c r="A12" s="1" t="s">
        <v>29</v>
      </c>
      <c r="B12" s="2">
        <v>66.3</v>
      </c>
      <c r="C12" s="2">
        <v>68.400000000000006</v>
      </c>
      <c r="D12" s="2">
        <v>73.239999999999995</v>
      </c>
      <c r="E12" s="2">
        <v>78.92</v>
      </c>
      <c r="F12" s="2">
        <v>90.88</v>
      </c>
      <c r="G12" s="2">
        <v>89.99</v>
      </c>
      <c r="H12" s="2">
        <v>91.9</v>
      </c>
      <c r="I12" s="2">
        <v>91.44</v>
      </c>
    </row>
    <row r="13" spans="1:9" x14ac:dyDescent="0.25">
      <c r="A13" s="1" t="s">
        <v>30</v>
      </c>
      <c r="B13" s="2">
        <v>21</v>
      </c>
      <c r="C13" s="2">
        <v>20.27</v>
      </c>
      <c r="D13" s="2">
        <v>19.14</v>
      </c>
      <c r="E13" s="2">
        <v>12.58</v>
      </c>
      <c r="F13" s="2">
        <v>7.49</v>
      </c>
      <c r="G13" s="2">
        <v>7.72</v>
      </c>
      <c r="H13" s="2">
        <v>6.47</v>
      </c>
      <c r="I13" s="2">
        <v>6.62</v>
      </c>
    </row>
  </sheetData>
  <mergeCells count="4">
    <mergeCell ref="B9:E9"/>
    <mergeCell ref="F9:I9"/>
    <mergeCell ref="B2:E2"/>
    <mergeCell ref="F2:I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7AF8-9424-4C99-8EBA-F3CD34C49031}">
  <dimension ref="A1:F28"/>
  <sheetViews>
    <sheetView topLeftCell="C1" workbookViewId="0">
      <selection activeCell="K22" sqref="K22"/>
    </sheetView>
  </sheetViews>
  <sheetFormatPr defaultRowHeight="14" x14ac:dyDescent="0.3"/>
  <cols>
    <col min="1" max="1" width="14.33203125" customWidth="1"/>
    <col min="2" max="2" width="84.1640625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 t="s">
        <v>57</v>
      </c>
      <c r="B2" t="s">
        <v>58</v>
      </c>
      <c r="C2">
        <v>124</v>
      </c>
      <c r="D2">
        <v>0.55389549999999999</v>
      </c>
      <c r="E2">
        <v>1.863326</v>
      </c>
      <c r="F2">
        <v>0</v>
      </c>
    </row>
    <row r="3" spans="1:6" x14ac:dyDescent="0.3">
      <c r="A3" t="s">
        <v>59</v>
      </c>
      <c r="B3" t="s">
        <v>60</v>
      </c>
      <c r="C3">
        <v>24</v>
      </c>
      <c r="D3">
        <v>0.71204710000000004</v>
      </c>
      <c r="E3">
        <v>1.7726318999999999</v>
      </c>
      <c r="F3">
        <v>4.0485829999999997E-3</v>
      </c>
    </row>
    <row r="4" spans="1:6" x14ac:dyDescent="0.3">
      <c r="A4" t="s">
        <v>61</v>
      </c>
      <c r="B4" t="s">
        <v>62</v>
      </c>
      <c r="C4">
        <v>32</v>
      </c>
      <c r="D4">
        <v>0.59368929999999998</v>
      </c>
      <c r="E4">
        <v>1.6014352999999999</v>
      </c>
      <c r="F4">
        <v>2.7667984E-2</v>
      </c>
    </row>
    <row r="5" spans="1:6" x14ac:dyDescent="0.3">
      <c r="A5" t="s">
        <v>63</v>
      </c>
      <c r="B5" t="s">
        <v>64</v>
      </c>
      <c r="C5">
        <v>38</v>
      </c>
      <c r="D5">
        <v>0.58008579999999998</v>
      </c>
      <c r="E5">
        <v>1.5821476000000001</v>
      </c>
      <c r="F5">
        <v>1.1741682999999999E-2</v>
      </c>
    </row>
    <row r="6" spans="1:6" x14ac:dyDescent="0.3">
      <c r="A6" t="s">
        <v>65</v>
      </c>
      <c r="B6" t="s">
        <v>66</v>
      </c>
      <c r="C6">
        <v>67</v>
      </c>
      <c r="D6">
        <v>0.51659184999999996</v>
      </c>
      <c r="E6">
        <v>1.5729112999999999</v>
      </c>
      <c r="F6">
        <v>1.9305018999999999E-3</v>
      </c>
    </row>
    <row r="7" spans="1:6" x14ac:dyDescent="0.3">
      <c r="A7" t="s">
        <v>67</v>
      </c>
      <c r="B7" t="s">
        <v>68</v>
      </c>
      <c r="C7">
        <v>18</v>
      </c>
      <c r="D7">
        <v>0.66289439999999999</v>
      </c>
      <c r="E7">
        <v>1.5601678999999999</v>
      </c>
      <c r="F7">
        <v>2.6369166999999999E-2</v>
      </c>
    </row>
    <row r="8" spans="1:6" x14ac:dyDescent="0.3">
      <c r="A8" t="s">
        <v>69</v>
      </c>
      <c r="B8" t="s">
        <v>70</v>
      </c>
      <c r="C8">
        <v>43</v>
      </c>
      <c r="D8">
        <v>0.55271833999999997</v>
      </c>
      <c r="E8">
        <v>1.5566161999999999</v>
      </c>
      <c r="F8">
        <v>1.9379845E-2</v>
      </c>
    </row>
    <row r="9" spans="1:6" x14ac:dyDescent="0.3">
      <c r="A9" t="s">
        <v>71</v>
      </c>
      <c r="B9" t="s">
        <v>72</v>
      </c>
      <c r="C9">
        <v>155</v>
      </c>
      <c r="D9">
        <v>0.45209539999999998</v>
      </c>
      <c r="E9">
        <v>1.5507365</v>
      </c>
      <c r="F9">
        <v>0</v>
      </c>
    </row>
    <row r="10" spans="1:6" x14ac:dyDescent="0.3">
      <c r="A10" t="s">
        <v>73</v>
      </c>
      <c r="B10" t="s">
        <v>74</v>
      </c>
      <c r="C10">
        <v>149</v>
      </c>
      <c r="D10">
        <v>0.45238253</v>
      </c>
      <c r="E10">
        <v>1.5459442999999999</v>
      </c>
      <c r="F10">
        <v>0</v>
      </c>
    </row>
    <row r="11" spans="1:6" x14ac:dyDescent="0.3">
      <c r="A11" t="s">
        <v>75</v>
      </c>
      <c r="B11" t="s">
        <v>76</v>
      </c>
      <c r="C11">
        <v>60</v>
      </c>
      <c r="D11">
        <v>0.47859573</v>
      </c>
      <c r="E11">
        <v>1.4135663999999999</v>
      </c>
      <c r="F11">
        <v>3.3663366E-2</v>
      </c>
    </row>
    <row r="13" spans="1:6" x14ac:dyDescent="0.3">
      <c r="A13" t="s">
        <v>41</v>
      </c>
      <c r="B13" t="s">
        <v>42</v>
      </c>
      <c r="C13">
        <v>45</v>
      </c>
      <c r="D13">
        <v>0.76402840000000005</v>
      </c>
      <c r="E13">
        <v>2.1390402000000002</v>
      </c>
      <c r="F13">
        <v>0</v>
      </c>
    </row>
    <row r="14" spans="1:6" x14ac:dyDescent="0.3">
      <c r="A14" t="s">
        <v>43</v>
      </c>
      <c r="B14" t="s">
        <v>44</v>
      </c>
      <c r="C14">
        <v>33</v>
      </c>
      <c r="D14">
        <v>0.63491184000000001</v>
      </c>
      <c r="E14">
        <v>1.6975319</v>
      </c>
      <c r="F14">
        <v>5.9288535000000002E-3</v>
      </c>
    </row>
    <row r="15" spans="1:6" x14ac:dyDescent="0.3">
      <c r="A15" t="s">
        <v>45</v>
      </c>
      <c r="B15" t="s">
        <v>46</v>
      </c>
      <c r="C15">
        <v>15</v>
      </c>
      <c r="D15">
        <v>0.76824619999999999</v>
      </c>
      <c r="E15">
        <v>1.6749417</v>
      </c>
      <c r="F15">
        <v>1.9455252999999999E-3</v>
      </c>
    </row>
    <row r="16" spans="1:6" x14ac:dyDescent="0.3">
      <c r="A16" t="s">
        <v>47</v>
      </c>
      <c r="B16" t="s">
        <v>48</v>
      </c>
      <c r="C16">
        <v>141</v>
      </c>
      <c r="D16">
        <v>0.49217411999999999</v>
      </c>
      <c r="E16">
        <v>1.6611009999999999</v>
      </c>
      <c r="F16">
        <v>0</v>
      </c>
    </row>
    <row r="17" spans="1:6" x14ac:dyDescent="0.3">
      <c r="A17" t="s">
        <v>49</v>
      </c>
      <c r="B17" t="s">
        <v>50</v>
      </c>
      <c r="C17">
        <v>98</v>
      </c>
      <c r="D17">
        <v>0.49132407</v>
      </c>
      <c r="E17">
        <v>1.5844237999999999</v>
      </c>
      <c r="F17">
        <v>0</v>
      </c>
    </row>
    <row r="18" spans="1:6" x14ac:dyDescent="0.3">
      <c r="A18" t="s">
        <v>51</v>
      </c>
      <c r="B18" t="s">
        <v>52</v>
      </c>
      <c r="C18">
        <v>17</v>
      </c>
      <c r="D18">
        <v>0.67355805999999996</v>
      </c>
      <c r="E18">
        <v>1.5468911999999999</v>
      </c>
      <c r="F18">
        <v>3.6016949999999999E-2</v>
      </c>
    </row>
    <row r="19" spans="1:6" x14ac:dyDescent="0.3">
      <c r="A19" t="s">
        <v>53</v>
      </c>
      <c r="B19" t="s">
        <v>54</v>
      </c>
      <c r="C19">
        <v>17</v>
      </c>
      <c r="D19">
        <v>0.67355805999999996</v>
      </c>
      <c r="E19">
        <v>1.5284025999999999</v>
      </c>
      <c r="F19">
        <v>4.3824703E-2</v>
      </c>
    </row>
    <row r="20" spans="1:6" x14ac:dyDescent="0.3">
      <c r="A20" t="s">
        <v>55</v>
      </c>
      <c r="B20" t="s">
        <v>56</v>
      </c>
      <c r="C20">
        <v>76</v>
      </c>
      <c r="D20">
        <v>0.43908057</v>
      </c>
      <c r="E20">
        <v>1.3767962</v>
      </c>
      <c r="F20">
        <v>3.8387716000000002E-2</v>
      </c>
    </row>
    <row r="22" spans="1:6" x14ac:dyDescent="0.3">
      <c r="A22" t="s">
        <v>77</v>
      </c>
      <c r="B22" t="s">
        <v>78</v>
      </c>
      <c r="C22">
        <v>21</v>
      </c>
      <c r="D22">
        <v>0.78548859999999998</v>
      </c>
      <c r="E22">
        <v>1.8879774</v>
      </c>
      <c r="F22">
        <v>0</v>
      </c>
    </row>
    <row r="23" spans="1:6" x14ac:dyDescent="0.3">
      <c r="A23" t="s">
        <v>79</v>
      </c>
      <c r="B23" t="s">
        <v>80</v>
      </c>
      <c r="C23">
        <v>134</v>
      </c>
      <c r="D23">
        <v>0.51314079999999995</v>
      </c>
      <c r="E23">
        <v>1.7258699</v>
      </c>
      <c r="F23">
        <v>0</v>
      </c>
    </row>
    <row r="24" spans="1:6" x14ac:dyDescent="0.3">
      <c r="A24" t="s">
        <v>81</v>
      </c>
      <c r="B24" t="s">
        <v>82</v>
      </c>
      <c r="C24">
        <v>38</v>
      </c>
      <c r="D24">
        <v>0.57900995</v>
      </c>
      <c r="E24">
        <v>1.5797546</v>
      </c>
      <c r="F24">
        <v>6.1475410000000003E-3</v>
      </c>
    </row>
    <row r="25" spans="1:6" x14ac:dyDescent="0.3">
      <c r="A25" t="s">
        <v>83</v>
      </c>
      <c r="B25" t="s">
        <v>84</v>
      </c>
      <c r="C25">
        <v>41</v>
      </c>
      <c r="D25">
        <v>0.55525329999999995</v>
      </c>
      <c r="E25">
        <v>1.5459993000000001</v>
      </c>
      <c r="F25">
        <v>6.085193E-3</v>
      </c>
    </row>
    <row r="26" spans="1:6" x14ac:dyDescent="0.3">
      <c r="A26" t="s">
        <v>85</v>
      </c>
      <c r="B26" t="s">
        <v>86</v>
      </c>
      <c r="C26">
        <v>49</v>
      </c>
      <c r="D26">
        <v>0.46978091999999999</v>
      </c>
      <c r="E26">
        <v>1.3639231999999999</v>
      </c>
      <c r="F26">
        <v>5.6420233E-2</v>
      </c>
    </row>
    <row r="28" spans="1:6" x14ac:dyDescent="0.3">
      <c r="A28" t="s">
        <v>87</v>
      </c>
      <c r="B28" t="s">
        <v>88</v>
      </c>
      <c r="C28">
        <v>68</v>
      </c>
      <c r="D28">
        <v>0.43067879999999997</v>
      </c>
      <c r="E28">
        <v>1.3361357</v>
      </c>
      <c r="F28">
        <v>4.7008547999999997E-2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6617-70F8-47D5-B7F8-18AA5F9D2F5C}">
  <dimension ref="A1:G3"/>
  <sheetViews>
    <sheetView workbookViewId="0">
      <selection activeCell="E12" sqref="E12"/>
    </sheetView>
  </sheetViews>
  <sheetFormatPr defaultColWidth="12" defaultRowHeight="14" x14ac:dyDescent="0.3"/>
  <cols>
    <col min="1" max="1" width="22.08203125" customWidth="1"/>
    <col min="2" max="2" width="7.75" customWidth="1"/>
    <col min="3" max="3" width="8.75" customWidth="1"/>
    <col min="4" max="4" width="8.9140625" customWidth="1"/>
    <col min="5" max="5" width="9" customWidth="1"/>
    <col min="6" max="6" width="8" customWidth="1"/>
    <col min="7" max="7" width="8.9140625" customWidth="1"/>
  </cols>
  <sheetData>
    <row r="1" spans="1:7" ht="15.5" x14ac:dyDescent="0.3">
      <c r="A1" s="4"/>
      <c r="B1" s="12" t="s">
        <v>127</v>
      </c>
      <c r="C1" s="12"/>
      <c r="D1" s="12"/>
      <c r="E1" s="12" t="s">
        <v>128</v>
      </c>
      <c r="F1" s="12"/>
      <c r="G1" s="12"/>
    </row>
    <row r="2" spans="1:7" ht="15.5" x14ac:dyDescent="0.3">
      <c r="A2" s="5"/>
      <c r="B2" s="6" t="s">
        <v>124</v>
      </c>
      <c r="C2" s="6" t="s">
        <v>125</v>
      </c>
      <c r="D2" s="6" t="s">
        <v>126</v>
      </c>
      <c r="E2" s="6" t="s">
        <v>124</v>
      </c>
      <c r="F2" s="6" t="s">
        <v>125</v>
      </c>
      <c r="G2" s="6" t="s">
        <v>126</v>
      </c>
    </row>
    <row r="3" spans="1:7" x14ac:dyDescent="0.3">
      <c r="A3" t="s">
        <v>129</v>
      </c>
      <c r="B3">
        <v>4.556</v>
      </c>
      <c r="C3">
        <v>4.2480000000000002</v>
      </c>
      <c r="D3">
        <v>4.8040000000000003</v>
      </c>
      <c r="E3">
        <v>3.8879999999999999</v>
      </c>
      <c r="F3">
        <v>3.4609999999999999</v>
      </c>
      <c r="G3">
        <v>3.5249999999999999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AAE2-1854-40F4-ACA5-D2E151939DCE}">
  <dimension ref="A1:F51"/>
  <sheetViews>
    <sheetView topLeftCell="A28" workbookViewId="0">
      <selection activeCell="H37" sqref="H37"/>
    </sheetView>
  </sheetViews>
  <sheetFormatPr defaultColWidth="12" defaultRowHeight="14" x14ac:dyDescent="0.3"/>
  <cols>
    <col min="2" max="2" width="15.33203125" customWidth="1"/>
    <col min="4" max="4" width="17.1640625" customWidth="1"/>
  </cols>
  <sheetData>
    <row r="1" spans="1:6" ht="15.5" x14ac:dyDescent="0.35">
      <c r="A1" s="7" t="s">
        <v>94</v>
      </c>
      <c r="B1" s="13" t="s">
        <v>95</v>
      </c>
      <c r="C1" s="13"/>
      <c r="D1" s="13" t="s">
        <v>96</v>
      </c>
      <c r="E1" s="13"/>
    </row>
    <row r="2" spans="1:6" x14ac:dyDescent="0.3">
      <c r="A2" t="s">
        <v>97</v>
      </c>
      <c r="B2" s="3" t="s">
        <v>98</v>
      </c>
      <c r="C2" s="3" t="s">
        <v>99</v>
      </c>
      <c r="D2" s="3" t="s">
        <v>98</v>
      </c>
      <c r="E2" s="3" t="s">
        <v>99</v>
      </c>
      <c r="F2" s="3"/>
    </row>
    <row r="3" spans="1:6" x14ac:dyDescent="0.3">
      <c r="A3">
        <v>0.33333333333333331</v>
      </c>
      <c r="B3">
        <v>5.9408601373434067</v>
      </c>
      <c r="C3">
        <v>5.2928999066352844</v>
      </c>
      <c r="D3">
        <v>4.9855802208185196</v>
      </c>
      <c r="E3">
        <v>4.0261498652398586</v>
      </c>
    </row>
    <row r="4" spans="1:6" x14ac:dyDescent="0.3">
      <c r="A4">
        <v>0.66666666666666663</v>
      </c>
      <c r="B4">
        <v>5.8136098086833954</v>
      </c>
      <c r="C4">
        <v>6.5873400308191776</v>
      </c>
      <c r="D4">
        <v>4.5016300864517689</v>
      </c>
      <c r="E4">
        <v>4.0212799794971943</v>
      </c>
    </row>
    <row r="5" spans="1:6" x14ac:dyDescent="0.3">
      <c r="A5">
        <v>1</v>
      </c>
      <c r="B5">
        <v>3.8683800958096981</v>
      </c>
      <c r="C5">
        <v>4.2322399094700813</v>
      </c>
      <c r="D5">
        <v>3.6439800169318914</v>
      </c>
      <c r="E5">
        <v>3.8702099118381739</v>
      </c>
    </row>
    <row r="6" spans="1:6" x14ac:dyDescent="0.3">
      <c r="A6">
        <v>1.3333333333333333</v>
      </c>
      <c r="B6">
        <v>3.587889950722456</v>
      </c>
      <c r="C6">
        <v>3.5029200371354818</v>
      </c>
      <c r="D6">
        <v>3.7213501054793596</v>
      </c>
      <c r="E6">
        <v>3.2388400286436081</v>
      </c>
    </row>
    <row r="7" spans="1:6" x14ac:dyDescent="0.3">
      <c r="A7">
        <v>1.6666666666666667</v>
      </c>
      <c r="B7">
        <v>4.1388301178812981</v>
      </c>
      <c r="C7">
        <v>4.4203498400747776</v>
      </c>
      <c r="D7">
        <v>3.524289932101965</v>
      </c>
      <c r="E7">
        <v>3.554200055077672</v>
      </c>
    </row>
    <row r="8" spans="1:6" x14ac:dyDescent="0.3">
      <c r="A8">
        <v>2</v>
      </c>
      <c r="B8">
        <v>4.4710701331496239</v>
      </c>
      <c r="C8">
        <v>3.6451299674808979</v>
      </c>
      <c r="D8">
        <v>3.4059400204569101</v>
      </c>
      <c r="E8">
        <v>3.2194301020354033</v>
      </c>
    </row>
    <row r="9" spans="1:6" x14ac:dyDescent="0.3">
      <c r="A9">
        <v>2.3333333333333335</v>
      </c>
      <c r="B9">
        <v>3.6013300996273756</v>
      </c>
      <c r="C9">
        <v>2.8138600755482912</v>
      </c>
      <c r="D9">
        <v>3.3835200592875481</v>
      </c>
      <c r="E9">
        <v>2.8390099760144949</v>
      </c>
    </row>
    <row r="10" spans="1:6" x14ac:dyDescent="0.3">
      <c r="A10">
        <v>2.6666666666666665</v>
      </c>
      <c r="B10">
        <v>3.1382199376821518</v>
      </c>
      <c r="C10">
        <v>2.6302600745111704</v>
      </c>
      <c r="D10">
        <v>3.1727401074022055</v>
      </c>
      <c r="E10">
        <v>3.3845200669020414</v>
      </c>
    </row>
    <row r="11" spans="1:6" x14ac:dyDescent="0.3">
      <c r="A11">
        <v>3</v>
      </c>
      <c r="B11">
        <v>3.2403799705207348</v>
      </c>
      <c r="C11">
        <v>2.3847699631005526</v>
      </c>
      <c r="D11">
        <v>2.185730030760169</v>
      </c>
      <c r="E11">
        <v>1.3531099539250135</v>
      </c>
    </row>
    <row r="12" spans="1:6" x14ac:dyDescent="0.3">
      <c r="A12">
        <v>3.3333333333333335</v>
      </c>
      <c r="B12">
        <v>3.1069000251591206</v>
      </c>
      <c r="C12">
        <v>2.6060000527650118</v>
      </c>
      <c r="D12">
        <v>2.6350400876253843</v>
      </c>
      <c r="E12">
        <v>2.2850499954074621</v>
      </c>
    </row>
    <row r="13" spans="1:6" x14ac:dyDescent="0.3">
      <c r="A13">
        <v>3.6666666666666665</v>
      </c>
      <c r="B13">
        <v>3.6364099942147732</v>
      </c>
      <c r="C13">
        <v>3.1972099095582962</v>
      </c>
      <c r="D13">
        <v>2.387800021097064</v>
      </c>
      <c r="E13">
        <v>1.714400015771389</v>
      </c>
    </row>
    <row r="14" spans="1:6" x14ac:dyDescent="0.3">
      <c r="A14">
        <v>4</v>
      </c>
      <c r="B14">
        <v>4.7833500429987907</v>
      </c>
      <c r="C14">
        <v>4.4688801281154156</v>
      </c>
      <c r="D14">
        <v>2.9268900398164988</v>
      </c>
      <c r="E14">
        <v>2.1697098854929209</v>
      </c>
    </row>
    <row r="15" spans="1:6" x14ac:dyDescent="0.3">
      <c r="A15">
        <v>4.333333333333333</v>
      </c>
      <c r="B15">
        <v>4.5071002095937729</v>
      </c>
      <c r="C15">
        <v>5.0673699006438255</v>
      </c>
      <c r="D15">
        <v>2.8128600679337978</v>
      </c>
      <c r="E15">
        <v>2.3702399339526892</v>
      </c>
    </row>
    <row r="16" spans="1:6" x14ac:dyDescent="0.3">
      <c r="A16">
        <v>4.666666666666667</v>
      </c>
      <c r="B16">
        <v>5.3627300076186657</v>
      </c>
      <c r="C16">
        <v>5.3910198621451855</v>
      </c>
      <c r="D16">
        <v>2.4135499261319637</v>
      </c>
      <c r="E16">
        <v>2.2618500515818596</v>
      </c>
    </row>
    <row r="17" spans="1:5" x14ac:dyDescent="0.3">
      <c r="A17">
        <v>5</v>
      </c>
      <c r="B17">
        <v>4.9480102024972439</v>
      </c>
      <c r="C17">
        <v>3.3906199969351292</v>
      </c>
      <c r="D17">
        <v>3.0773100443184376</v>
      </c>
      <c r="E17">
        <v>3.1929300166666508</v>
      </c>
    </row>
    <row r="18" spans="1:5" x14ac:dyDescent="0.3">
      <c r="A18">
        <v>5.333333333333333</v>
      </c>
      <c r="B18">
        <v>4.6367100439965725</v>
      </c>
      <c r="C18">
        <v>3.9025798905640841</v>
      </c>
      <c r="D18">
        <v>2.995579969137907</v>
      </c>
      <c r="E18">
        <v>2.8227500151842833</v>
      </c>
    </row>
    <row r="19" spans="1:5" x14ac:dyDescent="0.3">
      <c r="A19">
        <v>5.666666666666667</v>
      </c>
      <c r="B19">
        <v>5.1337401382625103</v>
      </c>
      <c r="C19">
        <v>5.5349599570035934</v>
      </c>
      <c r="D19">
        <v>4.2098700068891048</v>
      </c>
      <c r="E19">
        <v>3.6857901141047478</v>
      </c>
    </row>
    <row r="20" spans="1:5" x14ac:dyDescent="0.3">
      <c r="A20">
        <v>6</v>
      </c>
      <c r="B20">
        <v>4.5364801771938801</v>
      </c>
      <c r="C20">
        <v>3.8363100029528141</v>
      </c>
      <c r="D20">
        <v>4.051589872688055</v>
      </c>
      <c r="E20">
        <v>4.8394398763775826</v>
      </c>
    </row>
    <row r="21" spans="1:5" x14ac:dyDescent="0.3">
      <c r="A21">
        <v>6.333333333333333</v>
      </c>
      <c r="B21">
        <v>3.4950899425894022</v>
      </c>
      <c r="C21">
        <v>3.01701994612813</v>
      </c>
      <c r="D21">
        <v>3.1987798865884542</v>
      </c>
      <c r="E21">
        <v>2.5630900636315346</v>
      </c>
    </row>
    <row r="22" spans="1:5" x14ac:dyDescent="0.3">
      <c r="A22">
        <v>6.666666666666667</v>
      </c>
      <c r="B22">
        <v>4.7385701909661293</v>
      </c>
      <c r="C22">
        <v>5.9454902075231075</v>
      </c>
      <c r="D22">
        <v>2.9711800161749125</v>
      </c>
      <c r="E22">
        <v>2.6023199316114187</v>
      </c>
    </row>
    <row r="23" spans="1:5" x14ac:dyDescent="0.3">
      <c r="A23">
        <v>7</v>
      </c>
      <c r="B23">
        <v>5.324140191078186</v>
      </c>
      <c r="C23">
        <v>5.8567197993397713</v>
      </c>
      <c r="D23">
        <v>3.0303099192678928</v>
      </c>
      <c r="E23">
        <v>2.4714700412005186</v>
      </c>
    </row>
    <row r="24" spans="1:5" x14ac:dyDescent="0.3">
      <c r="A24">
        <v>7.333333333333333</v>
      </c>
      <c r="B24">
        <v>5.6770900264382362</v>
      </c>
      <c r="C24">
        <v>5.8231698349118233</v>
      </c>
      <c r="D24">
        <v>3.2549700699746609</v>
      </c>
      <c r="E24">
        <v>3.6196000874042511</v>
      </c>
    </row>
    <row r="25" spans="1:5" x14ac:dyDescent="0.3">
      <c r="A25">
        <v>7.666666666666667</v>
      </c>
      <c r="B25">
        <v>4.5341700315475464</v>
      </c>
      <c r="C25">
        <v>3.7189798895269632</v>
      </c>
      <c r="D25">
        <v>3.5451001022011042</v>
      </c>
      <c r="E25">
        <v>2.0565600134432316</v>
      </c>
    </row>
    <row r="26" spans="1:5" x14ac:dyDescent="0.3">
      <c r="A26">
        <v>8</v>
      </c>
      <c r="B26">
        <v>5.3306599147617817</v>
      </c>
      <c r="C26">
        <v>4.1277501732110977</v>
      </c>
      <c r="D26">
        <v>4.3663298711180687</v>
      </c>
      <c r="E26">
        <v>4.2631998658180237</v>
      </c>
    </row>
    <row r="27" spans="1:5" x14ac:dyDescent="0.3">
      <c r="A27">
        <v>8.3333333333333339</v>
      </c>
      <c r="B27">
        <v>4.7489898279309273</v>
      </c>
      <c r="C27">
        <v>3.8801499176770449</v>
      </c>
      <c r="D27">
        <v>3.1171399168670177</v>
      </c>
      <c r="E27">
        <v>2.6170199271291494</v>
      </c>
    </row>
    <row r="28" spans="1:5" x14ac:dyDescent="0.3">
      <c r="A28">
        <v>8.6666666666666661</v>
      </c>
      <c r="B28">
        <v>4.8996801488101482</v>
      </c>
      <c r="C28">
        <v>4.3245297856628895</v>
      </c>
      <c r="D28">
        <v>2.2867599036544561</v>
      </c>
      <c r="E28">
        <v>1.7053299816325307</v>
      </c>
    </row>
    <row r="29" spans="1:5" x14ac:dyDescent="0.3">
      <c r="A29">
        <v>9</v>
      </c>
      <c r="B29">
        <v>4.4308002106845379</v>
      </c>
      <c r="C29">
        <v>4.3168500997126102</v>
      </c>
      <c r="D29">
        <v>3.376479959115386</v>
      </c>
      <c r="E29">
        <v>3.6243300419300795</v>
      </c>
    </row>
    <row r="30" spans="1:5" x14ac:dyDescent="0.3">
      <c r="A30">
        <v>9.3333333333333339</v>
      </c>
      <c r="B30">
        <v>3.7509999237954617</v>
      </c>
      <c r="C30">
        <v>2.7078499551862478</v>
      </c>
      <c r="D30">
        <v>3.3835200592875481</v>
      </c>
      <c r="E30">
        <v>2.2180699743330479</v>
      </c>
    </row>
    <row r="31" spans="1:5" x14ac:dyDescent="0.3">
      <c r="A31">
        <v>9.6666666666666661</v>
      </c>
      <c r="B31">
        <v>3.85305006057024</v>
      </c>
      <c r="C31">
        <v>2.9182499274611473</v>
      </c>
      <c r="D31">
        <v>3.7726899608969688</v>
      </c>
      <c r="E31">
        <v>3.2550001051276922</v>
      </c>
    </row>
    <row r="32" spans="1:5" x14ac:dyDescent="0.3">
      <c r="A32">
        <v>10</v>
      </c>
      <c r="B32">
        <v>2.6571201160550117</v>
      </c>
      <c r="C32">
        <v>2.6111600454896688</v>
      </c>
      <c r="D32">
        <v>3.4471799153834581</v>
      </c>
      <c r="E32">
        <v>2.4142900947481394</v>
      </c>
    </row>
    <row r="33" spans="1:5" x14ac:dyDescent="0.3">
      <c r="A33">
        <v>10.333333333333334</v>
      </c>
      <c r="B33">
        <v>4.0491498075425625</v>
      </c>
      <c r="C33">
        <v>2.5079799816012383</v>
      </c>
      <c r="D33">
        <v>4.15010005235672</v>
      </c>
      <c r="E33">
        <v>3.8635700475424528</v>
      </c>
    </row>
    <row r="34" spans="1:5" x14ac:dyDescent="0.3">
      <c r="A34">
        <v>10.666666666666666</v>
      </c>
      <c r="B34">
        <v>4.1841799393296242</v>
      </c>
      <c r="C34">
        <v>3.1314499210566282</v>
      </c>
      <c r="D34">
        <v>3.5159999970346689</v>
      </c>
      <c r="E34">
        <v>2.785820048302412</v>
      </c>
    </row>
    <row r="35" spans="1:5" x14ac:dyDescent="0.3">
      <c r="A35">
        <v>11</v>
      </c>
      <c r="B35">
        <v>5.1402701064944267</v>
      </c>
      <c r="C35">
        <v>4.2967800982296467</v>
      </c>
      <c r="D35">
        <v>3.5629700869321823</v>
      </c>
      <c r="E35">
        <v>2.9756599105894566</v>
      </c>
    </row>
    <row r="36" spans="1:5" x14ac:dyDescent="0.3">
      <c r="A36">
        <v>11.333333333333334</v>
      </c>
      <c r="B36">
        <v>4.6502198092639446</v>
      </c>
      <c r="C36">
        <v>3.2312199473381042</v>
      </c>
      <c r="D36">
        <v>4.2959698475897312</v>
      </c>
      <c r="E36">
        <v>4.790780134499073</v>
      </c>
    </row>
    <row r="37" spans="1:5" x14ac:dyDescent="0.3">
      <c r="A37">
        <v>11.666666666666666</v>
      </c>
      <c r="B37">
        <v>4.2894799262285233</v>
      </c>
      <c r="C37">
        <v>3.1466300133615732</v>
      </c>
      <c r="D37">
        <v>3.2304299529641867</v>
      </c>
      <c r="E37">
        <v>3.0859399121254683</v>
      </c>
    </row>
    <row r="38" spans="1:5" x14ac:dyDescent="0.3">
      <c r="A38">
        <v>12</v>
      </c>
      <c r="B38">
        <v>5.2504399791359901</v>
      </c>
      <c r="C38">
        <v>4.8100901767611504</v>
      </c>
      <c r="D38">
        <v>4.1775000281631947</v>
      </c>
      <c r="E38">
        <v>3.851110115647316</v>
      </c>
    </row>
    <row r="39" spans="1:5" x14ac:dyDescent="0.3">
      <c r="A39">
        <v>12.333333333333334</v>
      </c>
      <c r="B39">
        <v>4.9022198654711246</v>
      </c>
      <c r="C39">
        <v>4.3835500255227089</v>
      </c>
      <c r="D39">
        <v>3.0333800241351128</v>
      </c>
      <c r="E39">
        <v>3.1076900195330381</v>
      </c>
    </row>
    <row r="40" spans="1:5" x14ac:dyDescent="0.3">
      <c r="A40">
        <v>12.666666666666666</v>
      </c>
      <c r="B40">
        <v>5.6642298586666584</v>
      </c>
      <c r="C40">
        <v>5.7778800837695599</v>
      </c>
      <c r="D40">
        <v>3.1915700528770685</v>
      </c>
      <c r="E40">
        <v>3.6328800488263369</v>
      </c>
    </row>
    <row r="41" spans="1:5" x14ac:dyDescent="0.3">
      <c r="A41">
        <v>13</v>
      </c>
      <c r="B41">
        <v>6.6405897960066795</v>
      </c>
      <c r="C41">
        <v>4.913069773465395</v>
      </c>
      <c r="D41">
        <v>2.9043499380350113</v>
      </c>
      <c r="E41">
        <v>3.0567499343305826</v>
      </c>
    </row>
    <row r="42" spans="1:5" x14ac:dyDescent="0.3">
      <c r="A42">
        <v>13.333333333333334</v>
      </c>
      <c r="B42">
        <v>6.8533499725162983</v>
      </c>
      <c r="C42">
        <v>5.8539700694382191</v>
      </c>
      <c r="D42">
        <v>3.9762700907886028</v>
      </c>
      <c r="E42">
        <v>3.3903000876307487</v>
      </c>
    </row>
    <row r="43" spans="1:5" x14ac:dyDescent="0.3">
      <c r="A43">
        <v>13.666666666666666</v>
      </c>
      <c r="B43">
        <v>6.0917502269148827</v>
      </c>
      <c r="C43">
        <v>5.02764992415905</v>
      </c>
      <c r="D43">
        <v>3.8012799341231585</v>
      </c>
      <c r="E43">
        <v>3.6414000205695629</v>
      </c>
    </row>
    <row r="44" spans="1:5" x14ac:dyDescent="0.3">
      <c r="A44">
        <v>14</v>
      </c>
      <c r="B44">
        <v>5.7204500772058964</v>
      </c>
      <c r="C44">
        <v>5.2898298017680645</v>
      </c>
      <c r="D44">
        <v>3.0176399741321802</v>
      </c>
      <c r="E44">
        <v>2.5230199098587036</v>
      </c>
    </row>
    <row r="45" spans="1:5" x14ac:dyDescent="0.3">
      <c r="A45">
        <v>14.333333333333334</v>
      </c>
      <c r="B45">
        <v>4.8900400288403034</v>
      </c>
      <c r="C45">
        <v>4.5521901920437813</v>
      </c>
      <c r="D45">
        <v>2.7926999609917402</v>
      </c>
      <c r="E45">
        <v>2.9034100007265806</v>
      </c>
    </row>
    <row r="46" spans="1:5" x14ac:dyDescent="0.3">
      <c r="A46">
        <v>14.666666666666666</v>
      </c>
      <c r="B46">
        <v>5.5191800929605961</v>
      </c>
      <c r="C46">
        <v>4.6247299760580063</v>
      </c>
      <c r="D46">
        <v>3.6413599736988544</v>
      </c>
      <c r="E46">
        <v>3.2802599016577005</v>
      </c>
    </row>
    <row r="47" spans="1:5" x14ac:dyDescent="0.3">
      <c r="A47">
        <v>15</v>
      </c>
      <c r="B47">
        <v>6.1955801211297512</v>
      </c>
      <c r="C47">
        <v>4.8797898925840855</v>
      </c>
      <c r="D47">
        <v>3.9656101725995541</v>
      </c>
      <c r="E47">
        <v>3.8878000341355801</v>
      </c>
    </row>
    <row r="48" spans="1:5" x14ac:dyDescent="0.3">
      <c r="A48">
        <v>15.333333333333334</v>
      </c>
      <c r="B48">
        <v>5.2306200377643108</v>
      </c>
      <c r="C48">
        <v>5.0684898160398006</v>
      </c>
      <c r="D48">
        <v>3.9821797981858253</v>
      </c>
      <c r="E48">
        <v>4.1172797791659832</v>
      </c>
    </row>
    <row r="49" spans="1:5" x14ac:dyDescent="0.3">
      <c r="A49">
        <v>15.666666666666666</v>
      </c>
      <c r="B49">
        <v>6.1548198573291302</v>
      </c>
      <c r="C49">
        <v>4.0829898789525032</v>
      </c>
      <c r="D49">
        <v>3.580939956009388</v>
      </c>
      <c r="E49">
        <v>3.2458200585097075</v>
      </c>
    </row>
    <row r="50" spans="1:5" x14ac:dyDescent="0.3">
      <c r="A50">
        <v>16</v>
      </c>
      <c r="B50">
        <v>4.7867698594927788</v>
      </c>
      <c r="C50">
        <v>4.1175298392772675</v>
      </c>
      <c r="D50">
        <v>4.269579891115427</v>
      </c>
      <c r="E50">
        <v>4.1496600024402142</v>
      </c>
    </row>
    <row r="51" spans="1:5" x14ac:dyDescent="0.3">
      <c r="A51">
        <v>16.333333333333332</v>
      </c>
      <c r="B51">
        <v>7.2978399693965912</v>
      </c>
      <c r="C51">
        <v>5.4462500847876072</v>
      </c>
      <c r="D51">
        <v>4.717669915407896</v>
      </c>
      <c r="E51">
        <v>4.4379900209605694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72E0-AFE9-4732-8504-BF255930F2DE}">
  <dimension ref="A1:V48"/>
  <sheetViews>
    <sheetView tabSelected="1" workbookViewId="0">
      <selection activeCell="F18" sqref="F18"/>
    </sheetView>
  </sheetViews>
  <sheetFormatPr defaultColWidth="11.9140625" defaultRowHeight="15.5" x14ac:dyDescent="0.3"/>
  <cols>
    <col min="1" max="2" width="11.9140625" style="5"/>
    <col min="3" max="3" width="14.4140625" style="5" customWidth="1"/>
    <col min="4" max="8" width="11.9140625" style="5"/>
    <col min="9" max="9" width="11.9140625" style="8"/>
    <col min="10" max="18" width="11.9140625" style="5"/>
    <col min="19" max="19" width="11.9140625" style="8"/>
    <col min="20" max="16384" width="11.9140625" style="5"/>
  </cols>
  <sheetData>
    <row r="1" spans="1:22" x14ac:dyDescent="0.3">
      <c r="D1" s="7" t="s">
        <v>100</v>
      </c>
      <c r="E1" s="12" t="s">
        <v>101</v>
      </c>
      <c r="F1" s="12"/>
      <c r="G1" s="12"/>
      <c r="H1" s="12"/>
      <c r="I1" s="14" t="s">
        <v>102</v>
      </c>
      <c r="J1" s="14"/>
      <c r="K1" s="14"/>
      <c r="L1" s="14"/>
      <c r="N1" s="7" t="s">
        <v>103</v>
      </c>
      <c r="O1" s="12" t="s">
        <v>104</v>
      </c>
      <c r="P1" s="12"/>
      <c r="Q1" s="12"/>
      <c r="R1" s="12"/>
      <c r="S1" s="14" t="s">
        <v>102</v>
      </c>
      <c r="T1" s="14"/>
      <c r="U1" s="14"/>
      <c r="V1" s="14"/>
    </row>
    <row r="2" spans="1:22" x14ac:dyDescent="0.3">
      <c r="A2" s="5" t="s">
        <v>93</v>
      </c>
      <c r="B2" s="5" t="s">
        <v>105</v>
      </c>
      <c r="C2" s="5" t="s">
        <v>106</v>
      </c>
      <c r="E2" s="5" t="s">
        <v>107</v>
      </c>
      <c r="F2" s="5" t="s">
        <v>108</v>
      </c>
      <c r="G2" s="5" t="s">
        <v>109</v>
      </c>
      <c r="H2" s="5" t="s">
        <v>110</v>
      </c>
      <c r="I2" s="8" t="s">
        <v>111</v>
      </c>
      <c r="J2" s="5" t="s">
        <v>112</v>
      </c>
      <c r="K2" s="5" t="s">
        <v>113</v>
      </c>
      <c r="L2" s="5" t="s">
        <v>114</v>
      </c>
      <c r="O2" s="5" t="s">
        <v>115</v>
      </c>
      <c r="P2" s="5" t="s">
        <v>116</v>
      </c>
      <c r="Q2" s="5" t="s">
        <v>117</v>
      </c>
      <c r="R2" s="5" t="s">
        <v>118</v>
      </c>
      <c r="S2" s="8" t="s">
        <v>111</v>
      </c>
      <c r="T2" s="5" t="s">
        <v>112</v>
      </c>
      <c r="U2" s="5" t="s">
        <v>113</v>
      </c>
      <c r="V2" s="5" t="s">
        <v>114</v>
      </c>
    </row>
    <row r="3" spans="1:22" x14ac:dyDescent="0.3">
      <c r="A3" s="8">
        <v>1</v>
      </c>
      <c r="B3" s="8">
        <v>0</v>
      </c>
      <c r="C3" s="8">
        <f>B3+2.5</f>
        <v>2.5</v>
      </c>
      <c r="D3" s="5" t="s">
        <v>119</v>
      </c>
      <c r="E3" s="5">
        <v>175</v>
      </c>
      <c r="F3" s="5">
        <v>184</v>
      </c>
      <c r="G3" s="5">
        <v>184</v>
      </c>
      <c r="H3" s="5">
        <v>193</v>
      </c>
      <c r="I3" s="8">
        <f>AVERAGE(E3:H3)</f>
        <v>184</v>
      </c>
      <c r="J3" s="5">
        <f>STDEV(E3:H3)</f>
        <v>7.3484692283495345</v>
      </c>
      <c r="K3" s="5">
        <f>COUNT(E3:H3)</f>
        <v>4</v>
      </c>
      <c r="L3" s="5">
        <f>J3/SQRT(K3)</f>
        <v>3.6742346141747673</v>
      </c>
      <c r="N3" s="5" t="s">
        <v>120</v>
      </c>
      <c r="O3" s="5">
        <v>211</v>
      </c>
      <c r="P3" s="5">
        <v>222</v>
      </c>
      <c r="Q3" s="5">
        <v>210</v>
      </c>
      <c r="R3" s="5">
        <v>210</v>
      </c>
      <c r="S3" s="8">
        <f>AVERAGE(O3:R3)</f>
        <v>213.25</v>
      </c>
      <c r="T3" s="5">
        <f>STDEV(O3:R3)</f>
        <v>5.8523499553598128</v>
      </c>
      <c r="U3" s="5">
        <f>COUNT(O3:R3)</f>
        <v>4</v>
      </c>
      <c r="V3" s="5">
        <f>T3/SQRT(T3)</f>
        <v>2.4191630691955868</v>
      </c>
    </row>
    <row r="4" spans="1:22" x14ac:dyDescent="0.3">
      <c r="A4" s="8">
        <v>2</v>
      </c>
      <c r="B4" s="8">
        <v>0.5</v>
      </c>
      <c r="C4" s="8">
        <f t="shared" ref="C4:C23" si="0">B4+2.5</f>
        <v>3</v>
      </c>
      <c r="D4" s="5" t="s">
        <v>119</v>
      </c>
      <c r="E4" s="5">
        <v>194</v>
      </c>
      <c r="F4" s="5">
        <v>215</v>
      </c>
      <c r="G4" s="5">
        <v>212</v>
      </c>
      <c r="H4" s="5">
        <v>210</v>
      </c>
      <c r="I4" s="8">
        <f t="shared" ref="I4:I47" si="1">AVERAGE(E4:H4)</f>
        <v>207.75</v>
      </c>
      <c r="J4" s="5">
        <f t="shared" ref="J4:J47" si="2">STDEV(E4:H4)</f>
        <v>9.3941471140279678</v>
      </c>
      <c r="K4" s="5">
        <f t="shared" ref="K4:K47" si="3">COUNT(E4:H4)</f>
        <v>4</v>
      </c>
      <c r="L4" s="5">
        <f t="shared" ref="L4:L47" si="4">J4/SQRT(K4)</f>
        <v>4.6970735570139839</v>
      </c>
      <c r="N4" s="5" t="s">
        <v>120</v>
      </c>
      <c r="O4" s="5">
        <v>199</v>
      </c>
      <c r="P4" s="5">
        <v>217</v>
      </c>
      <c r="Q4" s="5">
        <v>198</v>
      </c>
      <c r="R4" s="5">
        <v>213</v>
      </c>
      <c r="S4" s="8">
        <f t="shared" ref="S4:S23" si="5">AVERAGE(O4:R4)</f>
        <v>206.75</v>
      </c>
      <c r="T4" s="5">
        <f t="shared" ref="T4:T23" si="6">STDEV(O4:R4)</f>
        <v>9.6738479072876338</v>
      </c>
      <c r="U4" s="5">
        <f t="shared" ref="U4:U23" si="7">COUNT(O4:R4)</f>
        <v>4</v>
      </c>
      <c r="V4" s="5">
        <f t="shared" ref="V4:V23" si="8">T4/SQRT(T4)</f>
        <v>3.1102810013385662</v>
      </c>
    </row>
    <row r="5" spans="1:22" x14ac:dyDescent="0.3">
      <c r="A5" s="8">
        <v>3</v>
      </c>
      <c r="B5" s="8">
        <v>1</v>
      </c>
      <c r="C5" s="8">
        <f t="shared" si="0"/>
        <v>3.5</v>
      </c>
      <c r="D5" s="5" t="s">
        <v>119</v>
      </c>
      <c r="E5" s="5">
        <v>237</v>
      </c>
      <c r="F5" s="5">
        <v>250</v>
      </c>
      <c r="G5" s="5">
        <v>245</v>
      </c>
      <c r="H5" s="5">
        <v>240</v>
      </c>
      <c r="I5" s="8">
        <f t="shared" si="1"/>
        <v>243</v>
      </c>
      <c r="J5" s="5">
        <f t="shared" si="2"/>
        <v>5.715476066494082</v>
      </c>
      <c r="K5" s="5">
        <f t="shared" si="3"/>
        <v>4</v>
      </c>
      <c r="L5" s="5">
        <f t="shared" si="4"/>
        <v>2.857738033247041</v>
      </c>
      <c r="N5" s="5" t="s">
        <v>120</v>
      </c>
      <c r="O5" s="5">
        <v>197</v>
      </c>
      <c r="P5" s="5">
        <v>218</v>
      </c>
      <c r="Q5" s="5">
        <v>195</v>
      </c>
      <c r="R5" s="5">
        <v>208</v>
      </c>
      <c r="S5" s="8">
        <f t="shared" si="5"/>
        <v>204.5</v>
      </c>
      <c r="T5" s="5">
        <f t="shared" si="6"/>
        <v>10.661457061146317</v>
      </c>
      <c r="U5" s="5">
        <f t="shared" si="7"/>
        <v>4</v>
      </c>
      <c r="V5" s="5">
        <f t="shared" si="8"/>
        <v>3.2651886716002059</v>
      </c>
    </row>
    <row r="6" spans="1:22" x14ac:dyDescent="0.3">
      <c r="A6" s="8">
        <v>4</v>
      </c>
      <c r="B6" s="8">
        <v>1.5</v>
      </c>
      <c r="C6" s="8">
        <f t="shared" si="0"/>
        <v>4</v>
      </c>
      <c r="D6" s="5" t="s">
        <v>119</v>
      </c>
      <c r="E6" s="5">
        <v>209</v>
      </c>
      <c r="F6" s="5">
        <v>238</v>
      </c>
      <c r="G6" s="5">
        <v>250</v>
      </c>
      <c r="H6" s="5">
        <v>244</v>
      </c>
      <c r="I6" s="8">
        <f t="shared" si="1"/>
        <v>235.25</v>
      </c>
      <c r="J6" s="5">
        <f t="shared" si="2"/>
        <v>18.172781845386247</v>
      </c>
      <c r="K6" s="5">
        <f t="shared" si="3"/>
        <v>4</v>
      </c>
      <c r="L6" s="5">
        <f t="shared" si="4"/>
        <v>9.0863909226931234</v>
      </c>
      <c r="N6" s="5" t="s">
        <v>120</v>
      </c>
      <c r="O6" s="5">
        <v>183</v>
      </c>
      <c r="P6" s="5">
        <v>212</v>
      </c>
      <c r="Q6" s="5">
        <v>193</v>
      </c>
      <c r="R6" s="5">
        <v>199</v>
      </c>
      <c r="S6" s="8">
        <f t="shared" si="5"/>
        <v>196.75</v>
      </c>
      <c r="T6" s="5">
        <f t="shared" si="6"/>
        <v>12.120918557051139</v>
      </c>
      <c r="U6" s="5">
        <f t="shared" si="7"/>
        <v>4</v>
      </c>
      <c r="V6" s="5">
        <f t="shared" si="8"/>
        <v>3.4815109589158468</v>
      </c>
    </row>
    <row r="7" spans="1:22" x14ac:dyDescent="0.3">
      <c r="A7" s="8">
        <v>5</v>
      </c>
      <c r="B7" s="8">
        <v>2</v>
      </c>
      <c r="C7" s="8">
        <f t="shared" si="0"/>
        <v>4.5</v>
      </c>
      <c r="D7" s="5" t="s">
        <v>119</v>
      </c>
      <c r="E7" s="5">
        <v>197</v>
      </c>
      <c r="F7" s="5">
        <v>223</v>
      </c>
      <c r="G7" s="5">
        <v>218</v>
      </c>
      <c r="H7" s="5">
        <v>214</v>
      </c>
      <c r="I7" s="8">
        <f t="shared" si="1"/>
        <v>213</v>
      </c>
      <c r="J7" s="5">
        <f t="shared" si="2"/>
        <v>11.284207253207171</v>
      </c>
      <c r="K7" s="5">
        <f t="shared" si="3"/>
        <v>4</v>
      </c>
      <c r="L7" s="5">
        <f t="shared" si="4"/>
        <v>5.6421036266035856</v>
      </c>
      <c r="N7" s="5" t="s">
        <v>120</v>
      </c>
      <c r="O7" s="5">
        <v>195</v>
      </c>
      <c r="P7" s="5">
        <v>209</v>
      </c>
      <c r="Q7" s="5">
        <v>186</v>
      </c>
      <c r="R7" s="5">
        <v>191</v>
      </c>
      <c r="S7" s="8">
        <f t="shared" si="5"/>
        <v>195.25</v>
      </c>
      <c r="T7" s="5">
        <f t="shared" si="6"/>
        <v>9.8784276751582958</v>
      </c>
      <c r="U7" s="5">
        <f t="shared" si="7"/>
        <v>4</v>
      </c>
      <c r="V7" s="5">
        <f t="shared" si="8"/>
        <v>3.1429966075639175</v>
      </c>
    </row>
    <row r="8" spans="1:22" x14ac:dyDescent="0.3">
      <c r="A8" s="8">
        <v>6</v>
      </c>
      <c r="B8" s="8">
        <v>2.5</v>
      </c>
      <c r="C8" s="8">
        <f t="shared" si="0"/>
        <v>5</v>
      </c>
      <c r="D8" s="5" t="s">
        <v>119</v>
      </c>
      <c r="E8" s="5">
        <v>211</v>
      </c>
      <c r="F8" s="5">
        <v>214</v>
      </c>
      <c r="G8" s="5">
        <v>222</v>
      </c>
      <c r="H8" s="5">
        <v>205</v>
      </c>
      <c r="I8" s="8">
        <f t="shared" si="1"/>
        <v>213</v>
      </c>
      <c r="J8" s="5">
        <f t="shared" si="2"/>
        <v>7.0710678118654755</v>
      </c>
      <c r="K8" s="5">
        <f t="shared" si="3"/>
        <v>4</v>
      </c>
      <c r="L8" s="5">
        <f t="shared" si="4"/>
        <v>3.5355339059327378</v>
      </c>
      <c r="N8" s="5" t="s">
        <v>120</v>
      </c>
      <c r="O8" s="5">
        <v>177</v>
      </c>
      <c r="P8" s="5">
        <v>205</v>
      </c>
      <c r="Q8" s="5">
        <v>186</v>
      </c>
      <c r="R8" s="5">
        <v>199</v>
      </c>
      <c r="S8" s="8">
        <f t="shared" si="5"/>
        <v>191.75</v>
      </c>
      <c r="T8" s="5">
        <f t="shared" si="6"/>
        <v>12.632629707758133</v>
      </c>
      <c r="U8" s="5">
        <f t="shared" si="7"/>
        <v>4</v>
      </c>
      <c r="V8" s="5">
        <f t="shared" si="8"/>
        <v>3.5542410874556798</v>
      </c>
    </row>
    <row r="9" spans="1:22" x14ac:dyDescent="0.3">
      <c r="A9" s="8">
        <v>7</v>
      </c>
      <c r="B9" s="8">
        <v>3</v>
      </c>
      <c r="C9" s="8">
        <f t="shared" si="0"/>
        <v>5.5</v>
      </c>
      <c r="D9" s="5" t="s">
        <v>119</v>
      </c>
      <c r="E9" s="5">
        <v>204</v>
      </c>
      <c r="F9" s="5">
        <v>240</v>
      </c>
      <c r="G9" s="5">
        <v>223</v>
      </c>
      <c r="H9" s="5">
        <v>216</v>
      </c>
      <c r="I9" s="8">
        <f t="shared" si="1"/>
        <v>220.75</v>
      </c>
      <c r="J9" s="5">
        <f t="shared" si="2"/>
        <v>15.041608956491324</v>
      </c>
      <c r="K9" s="5">
        <f t="shared" si="3"/>
        <v>4</v>
      </c>
      <c r="L9" s="5">
        <f t="shared" si="4"/>
        <v>7.5208044782456618</v>
      </c>
      <c r="N9" s="5" t="s">
        <v>120</v>
      </c>
      <c r="O9" s="5">
        <v>180</v>
      </c>
      <c r="P9" s="5">
        <v>204</v>
      </c>
      <c r="Q9" s="5">
        <v>177</v>
      </c>
      <c r="R9" s="5">
        <v>192</v>
      </c>
      <c r="S9" s="8">
        <f t="shared" si="5"/>
        <v>188.25</v>
      </c>
      <c r="T9" s="5">
        <f t="shared" si="6"/>
        <v>12.338962679253067</v>
      </c>
      <c r="U9" s="5">
        <f t="shared" si="7"/>
        <v>4</v>
      </c>
      <c r="V9" s="5">
        <f t="shared" si="8"/>
        <v>3.5126859636541758</v>
      </c>
    </row>
    <row r="10" spans="1:22" x14ac:dyDescent="0.3">
      <c r="A10" s="8">
        <v>8</v>
      </c>
      <c r="B10" s="8">
        <v>3.5</v>
      </c>
      <c r="C10" s="8">
        <f t="shared" si="0"/>
        <v>6</v>
      </c>
      <c r="D10" s="5" t="s">
        <v>119</v>
      </c>
      <c r="E10" s="5">
        <v>197</v>
      </c>
      <c r="F10" s="5">
        <v>248</v>
      </c>
      <c r="G10" s="5">
        <v>214</v>
      </c>
      <c r="H10" s="5">
        <v>209</v>
      </c>
      <c r="I10" s="8">
        <f t="shared" si="1"/>
        <v>217</v>
      </c>
      <c r="J10" s="5">
        <f t="shared" si="2"/>
        <v>21.863211109075447</v>
      </c>
      <c r="K10" s="5">
        <f t="shared" si="3"/>
        <v>4</v>
      </c>
      <c r="L10" s="5">
        <f t="shared" si="4"/>
        <v>10.931605554537724</v>
      </c>
      <c r="N10" s="5" t="s">
        <v>120</v>
      </c>
      <c r="O10" s="5">
        <v>172</v>
      </c>
      <c r="P10" s="5">
        <v>211</v>
      </c>
      <c r="Q10" s="5">
        <v>175</v>
      </c>
      <c r="R10" s="5">
        <v>190</v>
      </c>
      <c r="S10" s="8">
        <f t="shared" si="5"/>
        <v>187</v>
      </c>
      <c r="T10" s="5">
        <f t="shared" si="6"/>
        <v>17.832554500127006</v>
      </c>
      <c r="U10" s="5">
        <f t="shared" si="7"/>
        <v>4</v>
      </c>
      <c r="V10" s="5">
        <f t="shared" si="8"/>
        <v>4.2228609378153825</v>
      </c>
    </row>
    <row r="11" spans="1:22" x14ac:dyDescent="0.3">
      <c r="A11" s="8">
        <v>9</v>
      </c>
      <c r="B11" s="8">
        <v>4</v>
      </c>
      <c r="C11" s="8">
        <f t="shared" si="0"/>
        <v>6.5</v>
      </c>
      <c r="D11" s="5" t="s">
        <v>119</v>
      </c>
      <c r="E11" s="5">
        <v>183</v>
      </c>
      <c r="F11" s="5">
        <v>245</v>
      </c>
      <c r="G11" s="5">
        <v>216</v>
      </c>
      <c r="H11" s="5">
        <v>211</v>
      </c>
      <c r="I11" s="8">
        <f t="shared" si="1"/>
        <v>213.75</v>
      </c>
      <c r="J11" s="5">
        <f t="shared" si="2"/>
        <v>25.395209522007622</v>
      </c>
      <c r="K11" s="5">
        <f t="shared" si="3"/>
        <v>4</v>
      </c>
      <c r="L11" s="5">
        <f t="shared" si="4"/>
        <v>12.697604761003811</v>
      </c>
      <c r="N11" s="5" t="s">
        <v>120</v>
      </c>
      <c r="O11" s="5">
        <v>175</v>
      </c>
      <c r="P11" s="5">
        <v>210</v>
      </c>
      <c r="Q11" s="5">
        <v>177</v>
      </c>
      <c r="R11" s="5">
        <v>190</v>
      </c>
      <c r="S11" s="8">
        <f t="shared" si="5"/>
        <v>188</v>
      </c>
      <c r="T11" s="5">
        <f t="shared" si="6"/>
        <v>16.10382977224155</v>
      </c>
      <c r="U11" s="5">
        <f t="shared" si="7"/>
        <v>4</v>
      </c>
      <c r="V11" s="5">
        <f t="shared" si="8"/>
        <v>4.0129577336724536</v>
      </c>
    </row>
    <row r="12" spans="1:22" x14ac:dyDescent="0.3">
      <c r="A12" s="8">
        <v>10</v>
      </c>
      <c r="B12" s="8">
        <v>4.5</v>
      </c>
      <c r="C12" s="8">
        <f t="shared" si="0"/>
        <v>7</v>
      </c>
      <c r="D12" s="5" t="s">
        <v>119</v>
      </c>
      <c r="E12" s="5">
        <v>188</v>
      </c>
      <c r="F12" s="5">
        <v>241</v>
      </c>
      <c r="G12" s="5">
        <v>215</v>
      </c>
      <c r="H12" s="5">
        <v>218</v>
      </c>
      <c r="I12" s="8">
        <f t="shared" si="1"/>
        <v>215.5</v>
      </c>
      <c r="J12" s="5">
        <f t="shared" si="2"/>
        <v>21.702534414210707</v>
      </c>
      <c r="K12" s="5">
        <f t="shared" si="3"/>
        <v>4</v>
      </c>
      <c r="L12" s="5">
        <f t="shared" si="4"/>
        <v>10.851267207105353</v>
      </c>
      <c r="N12" s="5" t="s">
        <v>120</v>
      </c>
      <c r="O12" s="5">
        <v>183</v>
      </c>
      <c r="P12" s="5">
        <v>209</v>
      </c>
      <c r="Q12" s="5">
        <v>182</v>
      </c>
      <c r="R12" s="5">
        <v>193</v>
      </c>
      <c r="S12" s="8">
        <f t="shared" si="5"/>
        <v>191.75</v>
      </c>
      <c r="T12" s="5">
        <f t="shared" si="6"/>
        <v>12.526638282742368</v>
      </c>
      <c r="U12" s="5">
        <f t="shared" si="7"/>
        <v>4</v>
      </c>
      <c r="V12" s="5">
        <f t="shared" si="8"/>
        <v>3.5392991230951885</v>
      </c>
    </row>
    <row r="13" spans="1:22" x14ac:dyDescent="0.3">
      <c r="A13" s="8">
        <v>11</v>
      </c>
      <c r="B13" s="8">
        <v>5</v>
      </c>
      <c r="C13" s="8">
        <f t="shared" si="0"/>
        <v>7.5</v>
      </c>
      <c r="D13" s="5" t="s">
        <v>119</v>
      </c>
      <c r="E13" s="5">
        <v>187</v>
      </c>
      <c r="F13" s="5">
        <v>233</v>
      </c>
      <c r="G13" s="5">
        <v>228</v>
      </c>
      <c r="H13" s="5">
        <v>215</v>
      </c>
      <c r="I13" s="8">
        <f t="shared" si="1"/>
        <v>215.75</v>
      </c>
      <c r="J13" s="5">
        <f t="shared" si="2"/>
        <v>20.613506898794942</v>
      </c>
      <c r="K13" s="5">
        <f t="shared" si="3"/>
        <v>4</v>
      </c>
      <c r="L13" s="5">
        <f t="shared" si="4"/>
        <v>10.306753449397471</v>
      </c>
      <c r="N13" s="5" t="s">
        <v>120</v>
      </c>
      <c r="O13" s="5">
        <v>182</v>
      </c>
      <c r="P13" s="5">
        <v>206</v>
      </c>
      <c r="Q13" s="5">
        <v>183</v>
      </c>
      <c r="R13" s="5">
        <v>195</v>
      </c>
      <c r="S13" s="8">
        <f t="shared" si="5"/>
        <v>191.5</v>
      </c>
      <c r="T13" s="5">
        <f t="shared" si="6"/>
        <v>11.32843031197762</v>
      </c>
      <c r="U13" s="5">
        <f t="shared" si="7"/>
        <v>4</v>
      </c>
      <c r="V13" s="5">
        <f t="shared" si="8"/>
        <v>3.3657733601622106</v>
      </c>
    </row>
    <row r="14" spans="1:22" x14ac:dyDescent="0.3">
      <c r="A14" s="8">
        <v>12</v>
      </c>
      <c r="B14" s="8">
        <v>5.5</v>
      </c>
      <c r="C14" s="8">
        <f t="shared" si="0"/>
        <v>8</v>
      </c>
      <c r="D14" s="5" t="s">
        <v>119</v>
      </c>
      <c r="E14" s="5">
        <v>211</v>
      </c>
      <c r="F14" s="5">
        <v>245</v>
      </c>
      <c r="G14" s="5">
        <v>214</v>
      </c>
      <c r="H14" s="5">
        <v>227</v>
      </c>
      <c r="I14" s="8">
        <f t="shared" si="1"/>
        <v>224.25</v>
      </c>
      <c r="J14" s="5">
        <f t="shared" si="2"/>
        <v>15.478479684172259</v>
      </c>
      <c r="K14" s="5">
        <f t="shared" si="3"/>
        <v>4</v>
      </c>
      <c r="L14" s="5">
        <f t="shared" si="4"/>
        <v>7.7392398420861293</v>
      </c>
      <c r="N14" s="5" t="s">
        <v>120</v>
      </c>
      <c r="O14" s="5">
        <v>185</v>
      </c>
      <c r="P14" s="5">
        <v>203</v>
      </c>
      <c r="Q14" s="5">
        <v>183</v>
      </c>
      <c r="R14" s="5">
        <v>194</v>
      </c>
      <c r="S14" s="8">
        <f t="shared" si="5"/>
        <v>191.25</v>
      </c>
      <c r="T14" s="5">
        <f t="shared" si="6"/>
        <v>9.1787798753429097</v>
      </c>
      <c r="U14" s="5">
        <f t="shared" si="7"/>
        <v>4</v>
      </c>
      <c r="V14" s="5">
        <f t="shared" si="8"/>
        <v>3.0296501242458524</v>
      </c>
    </row>
    <row r="15" spans="1:22" x14ac:dyDescent="0.3">
      <c r="A15" s="8">
        <v>13</v>
      </c>
      <c r="B15" s="8">
        <v>6</v>
      </c>
      <c r="C15" s="8">
        <f t="shared" si="0"/>
        <v>8.5</v>
      </c>
      <c r="D15" s="5" t="s">
        <v>119</v>
      </c>
      <c r="E15" s="5">
        <v>203</v>
      </c>
      <c r="F15" s="5">
        <v>237</v>
      </c>
      <c r="G15" s="5">
        <v>228</v>
      </c>
      <c r="H15" s="5">
        <v>206</v>
      </c>
      <c r="I15" s="8">
        <f t="shared" si="1"/>
        <v>218.5</v>
      </c>
      <c r="J15" s="5">
        <f t="shared" si="2"/>
        <v>16.623276853055575</v>
      </c>
      <c r="K15" s="5">
        <f t="shared" si="3"/>
        <v>4</v>
      </c>
      <c r="L15" s="5">
        <f t="shared" si="4"/>
        <v>8.3116384265277876</v>
      </c>
      <c r="N15" s="5" t="s">
        <v>120</v>
      </c>
      <c r="O15" s="5">
        <v>184</v>
      </c>
      <c r="P15" s="5">
        <v>198</v>
      </c>
      <c r="Q15" s="5">
        <v>188</v>
      </c>
      <c r="R15" s="5">
        <v>191</v>
      </c>
      <c r="S15" s="8">
        <f t="shared" si="5"/>
        <v>190.25</v>
      </c>
      <c r="T15" s="5">
        <f t="shared" si="6"/>
        <v>5.9090326337452783</v>
      </c>
      <c r="U15" s="5">
        <f t="shared" si="7"/>
        <v>4</v>
      </c>
      <c r="V15" s="5">
        <f t="shared" si="8"/>
        <v>2.430850187433458</v>
      </c>
    </row>
    <row r="16" spans="1:22" x14ac:dyDescent="0.3">
      <c r="A16" s="8">
        <v>14</v>
      </c>
      <c r="B16" s="8">
        <v>6.5</v>
      </c>
      <c r="C16" s="8">
        <f t="shared" si="0"/>
        <v>9</v>
      </c>
      <c r="D16" s="5" t="s">
        <v>119</v>
      </c>
      <c r="E16" s="5">
        <v>205</v>
      </c>
      <c r="F16" s="5">
        <v>226</v>
      </c>
      <c r="G16" s="5">
        <v>214</v>
      </c>
      <c r="H16" s="5">
        <v>218</v>
      </c>
      <c r="I16" s="8">
        <f t="shared" si="1"/>
        <v>215.75</v>
      </c>
      <c r="J16" s="5">
        <f t="shared" si="2"/>
        <v>8.7321245982864895</v>
      </c>
      <c r="K16" s="5">
        <f t="shared" si="3"/>
        <v>4</v>
      </c>
      <c r="L16" s="5">
        <f t="shared" si="4"/>
        <v>4.3660622991432447</v>
      </c>
      <c r="N16" s="5" t="s">
        <v>120</v>
      </c>
      <c r="O16" s="5">
        <v>186</v>
      </c>
      <c r="P16" s="5">
        <v>201</v>
      </c>
      <c r="Q16" s="5">
        <v>182</v>
      </c>
      <c r="R16" s="5">
        <v>194</v>
      </c>
      <c r="S16" s="8">
        <f t="shared" si="5"/>
        <v>190.75</v>
      </c>
      <c r="T16" s="5">
        <f t="shared" si="6"/>
        <v>8.4606934309980364</v>
      </c>
      <c r="U16" s="5">
        <f t="shared" si="7"/>
        <v>4</v>
      </c>
      <c r="V16" s="5">
        <f t="shared" si="8"/>
        <v>2.9087271152512808</v>
      </c>
    </row>
    <row r="17" spans="1:22" x14ac:dyDescent="0.3">
      <c r="A17" s="8">
        <v>15</v>
      </c>
      <c r="B17" s="8">
        <v>7</v>
      </c>
      <c r="C17" s="8">
        <f t="shared" si="0"/>
        <v>9.5</v>
      </c>
      <c r="D17" s="5" t="s">
        <v>119</v>
      </c>
      <c r="E17" s="5">
        <v>210</v>
      </c>
      <c r="F17" s="5">
        <v>257</v>
      </c>
      <c r="G17" s="5">
        <v>194</v>
      </c>
      <c r="H17" s="5">
        <v>218</v>
      </c>
      <c r="I17" s="8">
        <f t="shared" si="1"/>
        <v>219.75</v>
      </c>
      <c r="J17" s="5">
        <f t="shared" si="2"/>
        <v>26.762847382145271</v>
      </c>
      <c r="K17" s="5">
        <f t="shared" si="3"/>
        <v>4</v>
      </c>
      <c r="L17" s="5">
        <f t="shared" si="4"/>
        <v>13.381423691072635</v>
      </c>
      <c r="N17" s="5" t="s">
        <v>120</v>
      </c>
      <c r="O17" s="5">
        <v>184</v>
      </c>
      <c r="P17" s="5">
        <v>200</v>
      </c>
      <c r="Q17" s="5">
        <v>185</v>
      </c>
      <c r="R17" s="5">
        <v>189</v>
      </c>
      <c r="S17" s="8">
        <f t="shared" si="5"/>
        <v>189.5</v>
      </c>
      <c r="T17" s="5">
        <f t="shared" si="6"/>
        <v>7.32575365861197</v>
      </c>
      <c r="U17" s="5">
        <f t="shared" si="7"/>
        <v>4</v>
      </c>
      <c r="V17" s="5">
        <f t="shared" si="8"/>
        <v>2.7066129495389566</v>
      </c>
    </row>
    <row r="18" spans="1:22" x14ac:dyDescent="0.3">
      <c r="A18" s="8">
        <v>16</v>
      </c>
      <c r="B18" s="8">
        <v>7.5</v>
      </c>
      <c r="C18" s="8">
        <f t="shared" si="0"/>
        <v>10</v>
      </c>
      <c r="D18" s="5" t="s">
        <v>119</v>
      </c>
      <c r="E18" s="5">
        <v>203</v>
      </c>
      <c r="F18" s="5">
        <v>244</v>
      </c>
      <c r="G18" s="5">
        <v>220</v>
      </c>
      <c r="H18" s="5">
        <v>212</v>
      </c>
      <c r="I18" s="8">
        <f t="shared" si="1"/>
        <v>219.75</v>
      </c>
      <c r="J18" s="5">
        <f t="shared" si="2"/>
        <v>17.594980344783945</v>
      </c>
      <c r="K18" s="5">
        <f t="shared" si="3"/>
        <v>4</v>
      </c>
      <c r="L18" s="5">
        <f t="shared" si="4"/>
        <v>8.7974901723919725</v>
      </c>
      <c r="N18" s="5" t="s">
        <v>120</v>
      </c>
      <c r="O18" s="5">
        <v>187</v>
      </c>
      <c r="P18" s="5">
        <v>201</v>
      </c>
      <c r="Q18" s="5">
        <v>184</v>
      </c>
      <c r="R18" s="5">
        <v>187</v>
      </c>
      <c r="S18" s="8">
        <f t="shared" si="5"/>
        <v>189.75</v>
      </c>
      <c r="T18" s="5">
        <f t="shared" si="6"/>
        <v>7.6321687612368736</v>
      </c>
      <c r="U18" s="5">
        <f t="shared" si="7"/>
        <v>4</v>
      </c>
      <c r="V18" s="5">
        <f t="shared" si="8"/>
        <v>2.7626380076363377</v>
      </c>
    </row>
    <row r="19" spans="1:22" x14ac:dyDescent="0.3">
      <c r="A19" s="8">
        <v>17</v>
      </c>
      <c r="B19" s="8">
        <v>8</v>
      </c>
      <c r="C19" s="8">
        <f t="shared" si="0"/>
        <v>10.5</v>
      </c>
      <c r="D19" s="5" t="s">
        <v>119</v>
      </c>
      <c r="E19" s="5">
        <v>197</v>
      </c>
      <c r="F19" s="5">
        <v>220</v>
      </c>
      <c r="G19" s="5">
        <v>227</v>
      </c>
      <c r="H19" s="5">
        <v>212</v>
      </c>
      <c r="I19" s="8">
        <f t="shared" si="1"/>
        <v>214</v>
      </c>
      <c r="J19" s="5">
        <f t="shared" si="2"/>
        <v>12.884098726725126</v>
      </c>
      <c r="K19" s="5">
        <f t="shared" si="3"/>
        <v>4</v>
      </c>
      <c r="L19" s="5">
        <f t="shared" si="4"/>
        <v>6.4420493633625631</v>
      </c>
      <c r="N19" s="5" t="s">
        <v>120</v>
      </c>
      <c r="O19" s="5">
        <v>184</v>
      </c>
      <c r="P19" s="5">
        <v>200</v>
      </c>
      <c r="Q19" s="5">
        <v>188</v>
      </c>
      <c r="R19" s="5">
        <v>190</v>
      </c>
      <c r="S19" s="8">
        <f t="shared" si="5"/>
        <v>190.5</v>
      </c>
      <c r="T19" s="5">
        <f t="shared" si="6"/>
        <v>6.8068592855540455</v>
      </c>
      <c r="U19" s="5">
        <f t="shared" si="7"/>
        <v>4</v>
      </c>
      <c r="V19" s="5">
        <f t="shared" si="8"/>
        <v>2.6089958385467091</v>
      </c>
    </row>
    <row r="20" spans="1:22" x14ac:dyDescent="0.3">
      <c r="A20" s="8">
        <v>18</v>
      </c>
      <c r="B20" s="8">
        <v>8.5</v>
      </c>
      <c r="C20" s="8">
        <f t="shared" si="0"/>
        <v>11</v>
      </c>
      <c r="D20" s="5" t="s">
        <v>119</v>
      </c>
      <c r="E20" s="5">
        <v>215</v>
      </c>
      <c r="F20" s="5">
        <v>235</v>
      </c>
      <c r="G20" s="5">
        <v>225</v>
      </c>
      <c r="H20" s="5">
        <v>200</v>
      </c>
      <c r="I20" s="8">
        <f t="shared" si="1"/>
        <v>218.75</v>
      </c>
      <c r="J20" s="5">
        <f t="shared" si="2"/>
        <v>14.930394055974098</v>
      </c>
      <c r="K20" s="5">
        <f t="shared" si="3"/>
        <v>4</v>
      </c>
      <c r="L20" s="5">
        <f t="shared" si="4"/>
        <v>7.465197027987049</v>
      </c>
      <c r="N20" s="5" t="s">
        <v>120</v>
      </c>
      <c r="O20" s="5">
        <v>192</v>
      </c>
      <c r="P20" s="5">
        <v>201</v>
      </c>
      <c r="Q20" s="5">
        <v>189</v>
      </c>
      <c r="R20" s="5">
        <v>189</v>
      </c>
      <c r="S20" s="8">
        <f t="shared" si="5"/>
        <v>192.75</v>
      </c>
      <c r="T20" s="5">
        <f t="shared" si="6"/>
        <v>5.6789083458002736</v>
      </c>
      <c r="U20" s="5">
        <f t="shared" si="7"/>
        <v>4</v>
      </c>
      <c r="V20" s="5">
        <f t="shared" si="8"/>
        <v>2.3830460225938301</v>
      </c>
    </row>
    <row r="21" spans="1:22" x14ac:dyDescent="0.3">
      <c r="A21" s="8">
        <v>19</v>
      </c>
      <c r="B21" s="8">
        <v>9</v>
      </c>
      <c r="C21" s="8">
        <f t="shared" si="0"/>
        <v>11.5</v>
      </c>
      <c r="D21" s="5" t="s">
        <v>119</v>
      </c>
      <c r="E21" s="5">
        <v>207</v>
      </c>
      <c r="F21" s="5">
        <v>216</v>
      </c>
      <c r="G21" s="5">
        <v>206</v>
      </c>
      <c r="H21" s="5">
        <v>223</v>
      </c>
      <c r="I21" s="8">
        <f t="shared" si="1"/>
        <v>213</v>
      </c>
      <c r="J21" s="5">
        <f t="shared" si="2"/>
        <v>8.0415587212098796</v>
      </c>
      <c r="K21" s="5">
        <f t="shared" si="3"/>
        <v>4</v>
      </c>
      <c r="L21" s="5">
        <f t="shared" si="4"/>
        <v>4.0207793606049398</v>
      </c>
      <c r="N21" s="5" t="s">
        <v>120</v>
      </c>
      <c r="O21" s="5">
        <v>190</v>
      </c>
      <c r="P21" s="5">
        <v>199</v>
      </c>
      <c r="Q21" s="5">
        <v>189</v>
      </c>
      <c r="R21" s="5">
        <v>191</v>
      </c>
      <c r="S21" s="8">
        <f t="shared" si="5"/>
        <v>192.25</v>
      </c>
      <c r="T21" s="5">
        <f t="shared" si="6"/>
        <v>4.5734742446707477</v>
      </c>
      <c r="U21" s="5">
        <f t="shared" si="7"/>
        <v>4</v>
      </c>
      <c r="V21" s="5">
        <f t="shared" si="8"/>
        <v>2.1385682698176245</v>
      </c>
    </row>
    <row r="22" spans="1:22" x14ac:dyDescent="0.3">
      <c r="A22" s="8">
        <v>20</v>
      </c>
      <c r="B22" s="8">
        <v>9.5</v>
      </c>
      <c r="C22" s="8">
        <f t="shared" si="0"/>
        <v>12</v>
      </c>
      <c r="D22" s="5" t="s">
        <v>119</v>
      </c>
      <c r="E22" s="5">
        <v>214</v>
      </c>
      <c r="F22" s="5">
        <v>233</v>
      </c>
      <c r="G22" s="5">
        <v>216</v>
      </c>
      <c r="H22" s="5">
        <v>212</v>
      </c>
      <c r="I22" s="8">
        <f t="shared" si="1"/>
        <v>218.75</v>
      </c>
      <c r="J22" s="5">
        <f t="shared" si="2"/>
        <v>9.6393291606141691</v>
      </c>
      <c r="K22" s="5">
        <f t="shared" si="3"/>
        <v>4</v>
      </c>
      <c r="L22" s="5">
        <f t="shared" si="4"/>
        <v>4.8196645803070846</v>
      </c>
      <c r="N22" s="5" t="s">
        <v>120</v>
      </c>
      <c r="O22" s="5">
        <v>198</v>
      </c>
      <c r="P22" s="5">
        <v>199</v>
      </c>
      <c r="Q22" s="5">
        <v>184</v>
      </c>
      <c r="R22" s="5">
        <v>192</v>
      </c>
      <c r="S22" s="8">
        <f t="shared" si="5"/>
        <v>193.25</v>
      </c>
      <c r="T22" s="5">
        <f t="shared" si="6"/>
        <v>6.8980673621916262</v>
      </c>
      <c r="U22" s="5">
        <f t="shared" si="7"/>
        <v>4</v>
      </c>
      <c r="V22" s="5">
        <f t="shared" si="8"/>
        <v>2.6264172102298646</v>
      </c>
    </row>
    <row r="23" spans="1:22" x14ac:dyDescent="0.3">
      <c r="A23" s="8">
        <v>21</v>
      </c>
      <c r="B23" s="8">
        <v>10</v>
      </c>
      <c r="C23" s="8">
        <f t="shared" si="0"/>
        <v>12.5</v>
      </c>
      <c r="D23" s="5" t="s">
        <v>119</v>
      </c>
      <c r="E23" s="5">
        <v>201</v>
      </c>
      <c r="F23" s="5">
        <v>227</v>
      </c>
      <c r="G23" s="5">
        <v>214</v>
      </c>
      <c r="H23" s="5">
        <v>219</v>
      </c>
      <c r="I23" s="8">
        <f t="shared" si="1"/>
        <v>215.25</v>
      </c>
      <c r="J23" s="5">
        <f t="shared" si="2"/>
        <v>10.90489186863706</v>
      </c>
      <c r="K23" s="5">
        <f t="shared" si="3"/>
        <v>4</v>
      </c>
      <c r="L23" s="5">
        <f t="shared" si="4"/>
        <v>5.4524459343185301</v>
      </c>
      <c r="N23" s="5" t="s">
        <v>120</v>
      </c>
      <c r="O23" s="5">
        <v>191</v>
      </c>
      <c r="P23" s="5">
        <v>210</v>
      </c>
      <c r="Q23" s="5">
        <v>185</v>
      </c>
      <c r="R23" s="5">
        <v>190</v>
      </c>
      <c r="S23" s="8">
        <f t="shared" si="5"/>
        <v>194</v>
      </c>
      <c r="T23" s="5">
        <f t="shared" si="6"/>
        <v>10.984838035522721</v>
      </c>
      <c r="U23" s="5">
        <f t="shared" si="7"/>
        <v>4</v>
      </c>
      <c r="V23" s="5">
        <f t="shared" si="8"/>
        <v>3.3143382500165433</v>
      </c>
    </row>
    <row r="24" spans="1:22" x14ac:dyDescent="0.3">
      <c r="A24" s="8"/>
      <c r="B24" s="8"/>
      <c r="C24" s="8"/>
      <c r="O24" s="5">
        <f>O23-O3</f>
        <v>-20</v>
      </c>
      <c r="P24" s="5">
        <f>P23-P3</f>
        <v>-12</v>
      </c>
      <c r="Q24" s="5">
        <f>Q23-Q3</f>
        <v>-25</v>
      </c>
      <c r="R24" s="5">
        <f>R23-R3</f>
        <v>-20</v>
      </c>
    </row>
    <row r="25" spans="1:22" x14ac:dyDescent="0.3">
      <c r="A25" s="8"/>
      <c r="B25" s="8"/>
      <c r="C25" s="8"/>
      <c r="E25" s="12" t="s">
        <v>101</v>
      </c>
      <c r="F25" s="12"/>
      <c r="G25" s="12"/>
      <c r="H25" s="12"/>
      <c r="I25" s="14" t="s">
        <v>121</v>
      </c>
      <c r="J25" s="14"/>
      <c r="K25" s="14"/>
      <c r="L25" s="14"/>
      <c r="M25" s="7"/>
      <c r="N25" s="7"/>
      <c r="O25" s="12" t="s">
        <v>104</v>
      </c>
      <c r="P25" s="12"/>
      <c r="Q25" s="12"/>
      <c r="R25" s="12"/>
      <c r="S25" s="14" t="s">
        <v>121</v>
      </c>
      <c r="T25" s="14"/>
      <c r="U25" s="14"/>
      <c r="V25" s="14"/>
    </row>
    <row r="26" spans="1:22" x14ac:dyDescent="0.3">
      <c r="A26" s="5" t="s">
        <v>93</v>
      </c>
      <c r="B26" s="5" t="s">
        <v>105</v>
      </c>
      <c r="C26" s="5" t="s">
        <v>106</v>
      </c>
      <c r="E26" s="5" t="s">
        <v>107</v>
      </c>
      <c r="F26" s="5" t="s">
        <v>108</v>
      </c>
      <c r="G26" s="5" t="s">
        <v>109</v>
      </c>
      <c r="H26" s="5" t="s">
        <v>110</v>
      </c>
      <c r="I26" s="8" t="s">
        <v>111</v>
      </c>
      <c r="J26" s="5" t="s">
        <v>112</v>
      </c>
      <c r="K26" s="5" t="s">
        <v>113</v>
      </c>
      <c r="L26" s="5" t="s">
        <v>114</v>
      </c>
      <c r="O26" s="5" t="s">
        <v>115</v>
      </c>
      <c r="P26" s="5" t="s">
        <v>116</v>
      </c>
      <c r="Q26" s="5" t="s">
        <v>117</v>
      </c>
      <c r="R26" s="5" t="s">
        <v>118</v>
      </c>
      <c r="S26" s="8" t="s">
        <v>111</v>
      </c>
      <c r="T26" s="5" t="s">
        <v>112</v>
      </c>
      <c r="U26" s="5" t="s">
        <v>113</v>
      </c>
      <c r="V26" s="5" t="s">
        <v>114</v>
      </c>
    </row>
    <row r="27" spans="1:22" x14ac:dyDescent="0.3">
      <c r="A27" s="8">
        <v>1</v>
      </c>
      <c r="B27" s="8">
        <v>0</v>
      </c>
      <c r="C27" s="8">
        <f t="shared" ref="C27:C47" si="9">B27+2.5</f>
        <v>2.5</v>
      </c>
      <c r="D27" s="5" t="s">
        <v>122</v>
      </c>
      <c r="E27" s="5">
        <v>149</v>
      </c>
      <c r="F27" s="5">
        <v>145</v>
      </c>
      <c r="G27" s="5">
        <v>138</v>
      </c>
      <c r="H27" s="5">
        <v>157</v>
      </c>
      <c r="I27" s="8">
        <f t="shared" si="1"/>
        <v>147.25</v>
      </c>
      <c r="J27" s="5">
        <f t="shared" si="2"/>
        <v>7.932002689527196</v>
      </c>
      <c r="K27" s="5">
        <f t="shared" si="3"/>
        <v>4</v>
      </c>
      <c r="L27" s="5">
        <f t="shared" si="4"/>
        <v>3.966001344763598</v>
      </c>
      <c r="N27" s="5" t="s">
        <v>123</v>
      </c>
      <c r="O27" s="5">
        <v>213</v>
      </c>
      <c r="P27" s="5">
        <v>218</v>
      </c>
      <c r="Q27" s="5">
        <v>220</v>
      </c>
      <c r="R27" s="5">
        <v>224</v>
      </c>
      <c r="S27" s="8">
        <f t="shared" ref="S27:S47" si="10">AVERAGE(O27:R27)</f>
        <v>218.75</v>
      </c>
      <c r="T27" s="5">
        <f t="shared" ref="T27:T47" si="11">STDEV(O27:R27)</f>
        <v>4.5734742446707477</v>
      </c>
      <c r="U27" s="5">
        <f t="shared" ref="U27:U47" si="12">COUNT(O27:R27)</f>
        <v>4</v>
      </c>
      <c r="V27" s="5">
        <f t="shared" ref="V27:V47" si="13">T27/SQRT(T27)</f>
        <v>2.1385682698176245</v>
      </c>
    </row>
    <row r="28" spans="1:22" x14ac:dyDescent="0.3">
      <c r="A28" s="8">
        <v>2</v>
      </c>
      <c r="B28" s="8">
        <v>0.5</v>
      </c>
      <c r="C28" s="8">
        <f t="shared" si="9"/>
        <v>3</v>
      </c>
      <c r="D28" s="5" t="s">
        <v>122</v>
      </c>
      <c r="E28" s="5">
        <v>195</v>
      </c>
      <c r="F28" s="5">
        <v>191</v>
      </c>
      <c r="G28" s="5">
        <v>178</v>
      </c>
      <c r="H28" s="5">
        <v>206</v>
      </c>
      <c r="I28" s="8">
        <f t="shared" si="1"/>
        <v>192.5</v>
      </c>
      <c r="J28" s="5">
        <f t="shared" si="2"/>
        <v>11.561430130683084</v>
      </c>
      <c r="K28" s="5">
        <f t="shared" si="3"/>
        <v>4</v>
      </c>
      <c r="L28" s="5">
        <f t="shared" si="4"/>
        <v>5.7807150653415418</v>
      </c>
      <c r="N28" s="5" t="s">
        <v>123</v>
      </c>
      <c r="O28" s="5">
        <v>219</v>
      </c>
      <c r="P28" s="5">
        <v>219</v>
      </c>
      <c r="Q28" s="5">
        <v>222</v>
      </c>
      <c r="R28" s="5">
        <v>222</v>
      </c>
      <c r="S28" s="8">
        <f t="shared" si="10"/>
        <v>220.5</v>
      </c>
      <c r="T28" s="5">
        <f t="shared" si="11"/>
        <v>1.7320508075688772</v>
      </c>
      <c r="U28" s="5">
        <f t="shared" si="12"/>
        <v>4</v>
      </c>
      <c r="V28" s="5">
        <f t="shared" si="13"/>
        <v>1.3160740129524924</v>
      </c>
    </row>
    <row r="29" spans="1:22" x14ac:dyDescent="0.3">
      <c r="A29" s="8">
        <v>3</v>
      </c>
      <c r="B29" s="8">
        <v>1</v>
      </c>
      <c r="C29" s="8">
        <f t="shared" si="9"/>
        <v>3.5</v>
      </c>
      <c r="D29" s="5" t="s">
        <v>122</v>
      </c>
      <c r="E29" s="5">
        <v>199</v>
      </c>
      <c r="F29" s="5">
        <v>193</v>
      </c>
      <c r="G29" s="5">
        <v>194</v>
      </c>
      <c r="H29" s="5">
        <v>196</v>
      </c>
      <c r="I29" s="8">
        <f t="shared" si="1"/>
        <v>195.5</v>
      </c>
      <c r="J29" s="5">
        <f t="shared" si="2"/>
        <v>2.6457513110645907</v>
      </c>
      <c r="K29" s="5">
        <f t="shared" si="3"/>
        <v>4</v>
      </c>
      <c r="L29" s="5">
        <f t="shared" si="4"/>
        <v>1.3228756555322954</v>
      </c>
      <c r="N29" s="5" t="s">
        <v>123</v>
      </c>
      <c r="O29" s="5">
        <v>214</v>
      </c>
      <c r="P29" s="5">
        <v>216</v>
      </c>
      <c r="Q29" s="5">
        <v>222</v>
      </c>
      <c r="R29" s="5">
        <v>219</v>
      </c>
      <c r="S29" s="8">
        <f t="shared" si="10"/>
        <v>217.75</v>
      </c>
      <c r="T29" s="5">
        <f t="shared" si="11"/>
        <v>3.5</v>
      </c>
      <c r="U29" s="5">
        <f t="shared" si="12"/>
        <v>4</v>
      </c>
      <c r="V29" s="5">
        <f t="shared" si="13"/>
        <v>1.8708286933869707</v>
      </c>
    </row>
    <row r="30" spans="1:22" x14ac:dyDescent="0.3">
      <c r="A30" s="8">
        <v>4</v>
      </c>
      <c r="B30" s="8">
        <v>1.5</v>
      </c>
      <c r="C30" s="8">
        <f t="shared" si="9"/>
        <v>4</v>
      </c>
      <c r="D30" s="5" t="s">
        <v>122</v>
      </c>
      <c r="E30" s="5">
        <v>190</v>
      </c>
      <c r="F30" s="5">
        <v>187</v>
      </c>
      <c r="G30" s="5">
        <v>194</v>
      </c>
      <c r="H30" s="5">
        <v>189</v>
      </c>
      <c r="I30" s="8">
        <f t="shared" si="1"/>
        <v>190</v>
      </c>
      <c r="J30" s="5">
        <f t="shared" si="2"/>
        <v>2.9439202887759488</v>
      </c>
      <c r="K30" s="5">
        <f t="shared" si="3"/>
        <v>4</v>
      </c>
      <c r="L30" s="5">
        <f t="shared" si="4"/>
        <v>1.4719601443879744</v>
      </c>
      <c r="N30" s="5" t="s">
        <v>123</v>
      </c>
      <c r="O30" s="5">
        <v>208</v>
      </c>
      <c r="P30" s="5">
        <v>214</v>
      </c>
      <c r="Q30" s="5">
        <v>212</v>
      </c>
      <c r="R30" s="5">
        <v>219</v>
      </c>
      <c r="S30" s="8">
        <f t="shared" si="10"/>
        <v>213.25</v>
      </c>
      <c r="T30" s="5">
        <f t="shared" si="11"/>
        <v>4.5734742446707477</v>
      </c>
      <c r="U30" s="5">
        <f t="shared" si="12"/>
        <v>4</v>
      </c>
      <c r="V30" s="5">
        <f t="shared" si="13"/>
        <v>2.1385682698176245</v>
      </c>
    </row>
    <row r="31" spans="1:22" x14ac:dyDescent="0.3">
      <c r="A31" s="8">
        <v>5</v>
      </c>
      <c r="B31" s="8">
        <v>2</v>
      </c>
      <c r="C31" s="8">
        <f t="shared" si="9"/>
        <v>4.5</v>
      </c>
      <c r="D31" s="5" t="s">
        <v>122</v>
      </c>
      <c r="E31" s="5">
        <v>189</v>
      </c>
      <c r="F31" s="5">
        <v>187</v>
      </c>
      <c r="G31" s="5">
        <v>180</v>
      </c>
      <c r="H31" s="5">
        <v>189</v>
      </c>
      <c r="I31" s="8">
        <f t="shared" si="1"/>
        <v>186.25</v>
      </c>
      <c r="J31" s="5">
        <f t="shared" si="2"/>
        <v>4.2720018726587652</v>
      </c>
      <c r="K31" s="5">
        <f t="shared" si="3"/>
        <v>4</v>
      </c>
      <c r="L31" s="5">
        <f t="shared" si="4"/>
        <v>2.1360009363293826</v>
      </c>
      <c r="N31" s="5" t="s">
        <v>123</v>
      </c>
      <c r="O31" s="5">
        <v>207</v>
      </c>
      <c r="P31" s="5">
        <v>212</v>
      </c>
      <c r="Q31" s="5">
        <v>216</v>
      </c>
      <c r="R31" s="5">
        <v>217</v>
      </c>
      <c r="S31" s="8">
        <f t="shared" si="10"/>
        <v>213</v>
      </c>
      <c r="T31" s="5">
        <f t="shared" si="11"/>
        <v>4.5460605656619517</v>
      </c>
      <c r="U31" s="5">
        <f t="shared" si="12"/>
        <v>4</v>
      </c>
      <c r="V31" s="5">
        <f t="shared" si="13"/>
        <v>2.1321492831558375</v>
      </c>
    </row>
    <row r="32" spans="1:22" x14ac:dyDescent="0.3">
      <c r="A32" s="8">
        <v>6</v>
      </c>
      <c r="B32" s="8">
        <v>2.5</v>
      </c>
      <c r="C32" s="8">
        <f t="shared" si="9"/>
        <v>5</v>
      </c>
      <c r="D32" s="5" t="s">
        <v>122</v>
      </c>
      <c r="E32" s="5">
        <v>181</v>
      </c>
      <c r="F32" s="5">
        <v>183</v>
      </c>
      <c r="G32" s="5">
        <v>187</v>
      </c>
      <c r="H32" s="5">
        <v>188</v>
      </c>
      <c r="I32" s="8">
        <f t="shared" si="1"/>
        <v>184.75</v>
      </c>
      <c r="J32" s="5">
        <f t="shared" si="2"/>
        <v>3.3040379335998349</v>
      </c>
      <c r="K32" s="5">
        <f t="shared" si="3"/>
        <v>4</v>
      </c>
      <c r="L32" s="5">
        <f t="shared" si="4"/>
        <v>1.6520189667999174</v>
      </c>
      <c r="N32" s="5" t="s">
        <v>123</v>
      </c>
      <c r="O32" s="5">
        <v>201</v>
      </c>
      <c r="P32" s="5">
        <v>211</v>
      </c>
      <c r="Q32" s="5">
        <v>209</v>
      </c>
      <c r="R32" s="5">
        <v>210</v>
      </c>
      <c r="S32" s="8">
        <f t="shared" si="10"/>
        <v>207.75</v>
      </c>
      <c r="T32" s="5">
        <f t="shared" si="11"/>
        <v>4.5734742446707477</v>
      </c>
      <c r="U32" s="5">
        <f t="shared" si="12"/>
        <v>4</v>
      </c>
      <c r="V32" s="5">
        <f t="shared" si="13"/>
        <v>2.1385682698176245</v>
      </c>
    </row>
    <row r="33" spans="1:22" x14ac:dyDescent="0.3">
      <c r="A33" s="8">
        <v>7</v>
      </c>
      <c r="B33" s="8">
        <v>3</v>
      </c>
      <c r="C33" s="8">
        <f t="shared" si="9"/>
        <v>5.5</v>
      </c>
      <c r="D33" s="5" t="s">
        <v>122</v>
      </c>
      <c r="E33" s="5">
        <v>188</v>
      </c>
      <c r="F33" s="5">
        <v>183</v>
      </c>
      <c r="G33" s="5">
        <v>178</v>
      </c>
      <c r="H33" s="5">
        <v>188</v>
      </c>
      <c r="I33" s="8">
        <f t="shared" si="1"/>
        <v>184.25</v>
      </c>
      <c r="J33" s="5">
        <f t="shared" si="2"/>
        <v>4.7871355387816905</v>
      </c>
      <c r="K33" s="5">
        <f t="shared" si="3"/>
        <v>4</v>
      </c>
      <c r="L33" s="5">
        <f t="shared" si="4"/>
        <v>2.3935677693908453</v>
      </c>
      <c r="N33" s="5" t="s">
        <v>123</v>
      </c>
      <c r="O33" s="5">
        <v>189</v>
      </c>
      <c r="P33" s="5">
        <v>203</v>
      </c>
      <c r="Q33" s="5">
        <v>205</v>
      </c>
      <c r="R33" s="5">
        <v>216</v>
      </c>
      <c r="S33" s="8">
        <f t="shared" si="10"/>
        <v>203.25</v>
      </c>
      <c r="T33" s="5">
        <f t="shared" si="11"/>
        <v>11.086778913041726</v>
      </c>
      <c r="U33" s="5">
        <f t="shared" si="12"/>
        <v>4</v>
      </c>
      <c r="V33" s="5">
        <f t="shared" si="13"/>
        <v>3.3296815032434748</v>
      </c>
    </row>
    <row r="34" spans="1:22" x14ac:dyDescent="0.3">
      <c r="A34" s="8">
        <v>8</v>
      </c>
      <c r="B34" s="8">
        <v>3.5</v>
      </c>
      <c r="C34" s="8">
        <f t="shared" si="9"/>
        <v>6</v>
      </c>
      <c r="D34" s="5" t="s">
        <v>122</v>
      </c>
      <c r="E34" s="5">
        <v>192</v>
      </c>
      <c r="F34" s="5">
        <v>168</v>
      </c>
      <c r="G34" s="5">
        <v>180</v>
      </c>
      <c r="H34" s="5">
        <v>196</v>
      </c>
      <c r="I34" s="8">
        <f t="shared" si="1"/>
        <v>184</v>
      </c>
      <c r="J34" s="5">
        <f t="shared" si="2"/>
        <v>12.649110640673518</v>
      </c>
      <c r="K34" s="5">
        <f t="shared" si="3"/>
        <v>4</v>
      </c>
      <c r="L34" s="5">
        <f t="shared" si="4"/>
        <v>6.324555320336759</v>
      </c>
      <c r="N34" s="5" t="s">
        <v>123</v>
      </c>
      <c r="O34" s="5">
        <v>195</v>
      </c>
      <c r="P34" s="5">
        <v>203</v>
      </c>
      <c r="Q34" s="5">
        <v>202</v>
      </c>
      <c r="R34" s="5">
        <v>215</v>
      </c>
      <c r="S34" s="8">
        <f t="shared" si="10"/>
        <v>203.75</v>
      </c>
      <c r="T34" s="5">
        <f t="shared" si="11"/>
        <v>8.3016062702748474</v>
      </c>
      <c r="U34" s="5">
        <f t="shared" si="12"/>
        <v>4</v>
      </c>
      <c r="V34" s="5">
        <f t="shared" si="13"/>
        <v>2.8812508169673197</v>
      </c>
    </row>
    <row r="35" spans="1:22" x14ac:dyDescent="0.3">
      <c r="A35" s="8">
        <v>9</v>
      </c>
      <c r="B35" s="8">
        <v>4</v>
      </c>
      <c r="C35" s="8">
        <f t="shared" si="9"/>
        <v>6.5</v>
      </c>
      <c r="D35" s="5" t="s">
        <v>122</v>
      </c>
      <c r="E35" s="5">
        <v>197</v>
      </c>
      <c r="F35" s="5">
        <v>160</v>
      </c>
      <c r="G35" s="5">
        <v>171</v>
      </c>
      <c r="H35" s="5">
        <v>169</v>
      </c>
      <c r="I35" s="8">
        <f t="shared" si="1"/>
        <v>174.25</v>
      </c>
      <c r="J35" s="5">
        <f t="shared" si="2"/>
        <v>15.903353943953666</v>
      </c>
      <c r="K35" s="5">
        <f t="shared" si="3"/>
        <v>4</v>
      </c>
      <c r="L35" s="5">
        <f t="shared" si="4"/>
        <v>7.9516769719768332</v>
      </c>
      <c r="N35" s="5" t="s">
        <v>123</v>
      </c>
      <c r="O35" s="5">
        <v>197</v>
      </c>
      <c r="P35" s="5">
        <v>198</v>
      </c>
      <c r="Q35" s="5">
        <v>206</v>
      </c>
      <c r="R35" s="5">
        <v>211</v>
      </c>
      <c r="S35" s="8">
        <f t="shared" si="10"/>
        <v>203</v>
      </c>
      <c r="T35" s="5">
        <f t="shared" si="11"/>
        <v>6.6833125519211407</v>
      </c>
      <c r="U35" s="5">
        <f t="shared" si="12"/>
        <v>4</v>
      </c>
      <c r="V35" s="5">
        <f t="shared" si="13"/>
        <v>2.5852103496468408</v>
      </c>
    </row>
    <row r="36" spans="1:22" x14ac:dyDescent="0.3">
      <c r="A36" s="8">
        <v>10</v>
      </c>
      <c r="B36" s="8">
        <v>4.5</v>
      </c>
      <c r="C36" s="8">
        <f t="shared" si="9"/>
        <v>7</v>
      </c>
      <c r="D36" s="5" t="s">
        <v>122</v>
      </c>
      <c r="E36" s="5">
        <v>181</v>
      </c>
      <c r="F36" s="5">
        <v>169</v>
      </c>
      <c r="G36" s="5">
        <v>160</v>
      </c>
      <c r="H36" s="5">
        <v>177</v>
      </c>
      <c r="I36" s="8">
        <f t="shared" si="1"/>
        <v>171.75</v>
      </c>
      <c r="J36" s="5">
        <f t="shared" si="2"/>
        <v>9.2870878105033547</v>
      </c>
      <c r="K36" s="5">
        <f t="shared" si="3"/>
        <v>4</v>
      </c>
      <c r="L36" s="5">
        <f t="shared" si="4"/>
        <v>4.6435439052516774</v>
      </c>
      <c r="N36" s="5" t="s">
        <v>123</v>
      </c>
      <c r="O36" s="5">
        <v>187</v>
      </c>
      <c r="P36" s="5">
        <v>204</v>
      </c>
      <c r="Q36" s="5">
        <v>197</v>
      </c>
      <c r="R36" s="5">
        <v>215</v>
      </c>
      <c r="S36" s="8">
        <f t="shared" si="10"/>
        <v>200.75</v>
      </c>
      <c r="T36" s="5">
        <f t="shared" si="11"/>
        <v>11.786291472158096</v>
      </c>
      <c r="U36" s="5">
        <f t="shared" si="12"/>
        <v>4</v>
      </c>
      <c r="V36" s="5">
        <f t="shared" si="13"/>
        <v>3.4331168742351452</v>
      </c>
    </row>
    <row r="37" spans="1:22" x14ac:dyDescent="0.3">
      <c r="A37" s="8">
        <v>11</v>
      </c>
      <c r="B37" s="8">
        <v>5</v>
      </c>
      <c r="C37" s="8">
        <f t="shared" si="9"/>
        <v>7.5</v>
      </c>
      <c r="D37" s="5" t="s">
        <v>122</v>
      </c>
      <c r="E37" s="5">
        <v>162</v>
      </c>
      <c r="F37" s="5">
        <v>160</v>
      </c>
      <c r="G37" s="5">
        <v>166</v>
      </c>
      <c r="H37" s="5">
        <v>199</v>
      </c>
      <c r="I37" s="8">
        <f t="shared" si="1"/>
        <v>171.75</v>
      </c>
      <c r="J37" s="5">
        <f t="shared" si="2"/>
        <v>18.337120820892249</v>
      </c>
      <c r="K37" s="5">
        <f t="shared" si="3"/>
        <v>4</v>
      </c>
      <c r="L37" s="5">
        <f t="shared" si="4"/>
        <v>9.1685604104461245</v>
      </c>
      <c r="N37" s="5" t="s">
        <v>123</v>
      </c>
      <c r="O37" s="5">
        <v>194</v>
      </c>
      <c r="P37" s="5">
        <v>209</v>
      </c>
      <c r="Q37" s="5">
        <v>199</v>
      </c>
      <c r="R37" s="5">
        <v>216</v>
      </c>
      <c r="S37" s="8">
        <f t="shared" si="10"/>
        <v>204.5</v>
      </c>
      <c r="T37" s="5">
        <f t="shared" si="11"/>
        <v>9.882644720249063</v>
      </c>
      <c r="U37" s="5">
        <f t="shared" si="12"/>
        <v>4</v>
      </c>
      <c r="V37" s="5">
        <f t="shared" si="13"/>
        <v>3.1436673997497033</v>
      </c>
    </row>
    <row r="38" spans="1:22" x14ac:dyDescent="0.3">
      <c r="A38" s="8">
        <v>12</v>
      </c>
      <c r="B38" s="8">
        <v>5.5</v>
      </c>
      <c r="C38" s="8">
        <f t="shared" si="9"/>
        <v>8</v>
      </c>
      <c r="D38" s="5" t="s">
        <v>122</v>
      </c>
      <c r="E38" s="5">
        <v>180</v>
      </c>
      <c r="F38" s="5">
        <v>170</v>
      </c>
      <c r="G38" s="5">
        <v>172</v>
      </c>
      <c r="H38" s="5">
        <v>166</v>
      </c>
      <c r="I38" s="8">
        <f t="shared" si="1"/>
        <v>172</v>
      </c>
      <c r="J38" s="5">
        <f t="shared" si="2"/>
        <v>5.8878405775518976</v>
      </c>
      <c r="K38" s="5">
        <f t="shared" si="3"/>
        <v>4</v>
      </c>
      <c r="L38" s="5">
        <f t="shared" si="4"/>
        <v>2.9439202887759488</v>
      </c>
      <c r="N38" s="5" t="s">
        <v>123</v>
      </c>
      <c r="O38" s="5">
        <v>196</v>
      </c>
      <c r="P38" s="5">
        <v>213</v>
      </c>
      <c r="Q38" s="5">
        <v>197</v>
      </c>
      <c r="R38" s="5">
        <v>219</v>
      </c>
      <c r="S38" s="8">
        <f t="shared" si="10"/>
        <v>206.25</v>
      </c>
      <c r="T38" s="5">
        <f t="shared" si="11"/>
        <v>11.528949070347508</v>
      </c>
      <c r="U38" s="5">
        <f t="shared" si="12"/>
        <v>4</v>
      </c>
      <c r="V38" s="5">
        <f t="shared" si="13"/>
        <v>3.3954306163353576</v>
      </c>
    </row>
    <row r="39" spans="1:22" x14ac:dyDescent="0.3">
      <c r="A39" s="8">
        <v>13</v>
      </c>
      <c r="B39" s="8">
        <v>6</v>
      </c>
      <c r="C39" s="8">
        <f t="shared" si="9"/>
        <v>8.5</v>
      </c>
      <c r="D39" s="5" t="s">
        <v>122</v>
      </c>
      <c r="E39" s="5">
        <v>177</v>
      </c>
      <c r="F39" s="5">
        <v>167</v>
      </c>
      <c r="G39" s="5">
        <v>165</v>
      </c>
      <c r="H39" s="5">
        <v>180</v>
      </c>
      <c r="I39" s="8">
        <f t="shared" si="1"/>
        <v>172.25</v>
      </c>
      <c r="J39" s="5">
        <f t="shared" si="2"/>
        <v>7.3654599313281173</v>
      </c>
      <c r="K39" s="5">
        <f t="shared" si="3"/>
        <v>4</v>
      </c>
      <c r="L39" s="5">
        <f t="shared" si="4"/>
        <v>3.6827299656640586</v>
      </c>
      <c r="N39" s="5" t="s">
        <v>123</v>
      </c>
      <c r="O39" s="5">
        <v>201</v>
      </c>
      <c r="P39" s="5">
        <v>216</v>
      </c>
      <c r="Q39" s="5">
        <v>203</v>
      </c>
      <c r="R39" s="5">
        <v>218</v>
      </c>
      <c r="S39" s="8">
        <f t="shared" si="10"/>
        <v>209.5</v>
      </c>
      <c r="T39" s="5">
        <f t="shared" si="11"/>
        <v>8.736894948054104</v>
      </c>
      <c r="U39" s="5">
        <f t="shared" si="12"/>
        <v>4</v>
      </c>
      <c r="V39" s="5">
        <f t="shared" si="13"/>
        <v>2.9558239034242386</v>
      </c>
    </row>
    <row r="40" spans="1:22" x14ac:dyDescent="0.3">
      <c r="A40" s="8">
        <v>14</v>
      </c>
      <c r="B40" s="8">
        <v>6.5</v>
      </c>
      <c r="C40" s="8">
        <f t="shared" si="9"/>
        <v>9</v>
      </c>
      <c r="D40" s="5" t="s">
        <v>122</v>
      </c>
      <c r="E40" s="5">
        <v>167</v>
      </c>
      <c r="F40" s="5">
        <v>180</v>
      </c>
      <c r="G40" s="5">
        <v>168</v>
      </c>
      <c r="H40" s="5">
        <v>169</v>
      </c>
      <c r="I40" s="8">
        <f t="shared" si="1"/>
        <v>171</v>
      </c>
      <c r="J40" s="5">
        <f t="shared" si="2"/>
        <v>6.0553007081949835</v>
      </c>
      <c r="K40" s="5">
        <f t="shared" si="3"/>
        <v>4</v>
      </c>
      <c r="L40" s="5">
        <f t="shared" si="4"/>
        <v>3.0276503540974917</v>
      </c>
      <c r="N40" s="5" t="s">
        <v>123</v>
      </c>
      <c r="O40" s="5">
        <v>201</v>
      </c>
      <c r="P40" s="5">
        <v>211</v>
      </c>
      <c r="Q40" s="5">
        <v>211</v>
      </c>
      <c r="R40" s="5">
        <v>218</v>
      </c>
      <c r="S40" s="8">
        <f t="shared" si="10"/>
        <v>210.25</v>
      </c>
      <c r="T40" s="5">
        <f t="shared" si="11"/>
        <v>6.9940450861190957</v>
      </c>
      <c r="U40" s="5">
        <f t="shared" si="12"/>
        <v>4</v>
      </c>
      <c r="V40" s="5">
        <f t="shared" si="13"/>
        <v>2.6446256986800787</v>
      </c>
    </row>
    <row r="41" spans="1:22" x14ac:dyDescent="0.3">
      <c r="A41" s="8">
        <v>15</v>
      </c>
      <c r="B41" s="8">
        <v>7</v>
      </c>
      <c r="C41" s="8">
        <f t="shared" si="9"/>
        <v>9.5</v>
      </c>
      <c r="D41" s="5" t="s">
        <v>122</v>
      </c>
      <c r="E41" s="5">
        <v>187</v>
      </c>
      <c r="F41" s="5">
        <v>166</v>
      </c>
      <c r="G41" s="5">
        <v>171</v>
      </c>
      <c r="H41" s="5">
        <v>178</v>
      </c>
      <c r="I41" s="8">
        <f t="shared" si="1"/>
        <v>175.5</v>
      </c>
      <c r="J41" s="5">
        <f t="shared" si="2"/>
        <v>9.1104335791442992</v>
      </c>
      <c r="K41" s="5">
        <f t="shared" si="3"/>
        <v>4</v>
      </c>
      <c r="L41" s="5">
        <f t="shared" si="4"/>
        <v>4.5552167895721496</v>
      </c>
      <c r="N41" s="5" t="s">
        <v>123</v>
      </c>
      <c r="O41" s="5">
        <v>204</v>
      </c>
      <c r="P41" s="5">
        <v>215</v>
      </c>
      <c r="Q41" s="5">
        <v>210</v>
      </c>
      <c r="R41" s="5">
        <v>222</v>
      </c>
      <c r="S41" s="8">
        <f t="shared" si="10"/>
        <v>212.75</v>
      </c>
      <c r="T41" s="5">
        <f t="shared" si="11"/>
        <v>7.6321687612368736</v>
      </c>
      <c r="U41" s="5">
        <f t="shared" si="12"/>
        <v>4</v>
      </c>
      <c r="V41" s="5">
        <f t="shared" si="13"/>
        <v>2.7626380076363377</v>
      </c>
    </row>
    <row r="42" spans="1:22" x14ac:dyDescent="0.3">
      <c r="A42" s="8">
        <v>16</v>
      </c>
      <c r="B42" s="8">
        <v>7.5</v>
      </c>
      <c r="C42" s="8">
        <f t="shared" si="9"/>
        <v>10</v>
      </c>
      <c r="D42" s="5" t="s">
        <v>122</v>
      </c>
      <c r="E42" s="5">
        <v>187</v>
      </c>
      <c r="F42" s="5">
        <v>149</v>
      </c>
      <c r="G42" s="5">
        <v>163</v>
      </c>
      <c r="H42" s="5">
        <v>172</v>
      </c>
      <c r="I42" s="8">
        <f t="shared" si="1"/>
        <v>167.75</v>
      </c>
      <c r="J42" s="5">
        <f t="shared" si="2"/>
        <v>15.945218719101975</v>
      </c>
      <c r="K42" s="5">
        <f t="shared" si="3"/>
        <v>4</v>
      </c>
      <c r="L42" s="5">
        <f t="shared" si="4"/>
        <v>7.9726093595509875</v>
      </c>
      <c r="N42" s="5" t="s">
        <v>123</v>
      </c>
      <c r="O42" s="5">
        <v>200</v>
      </c>
      <c r="P42" s="5">
        <v>211</v>
      </c>
      <c r="Q42" s="5">
        <v>205</v>
      </c>
      <c r="R42" s="5">
        <v>215</v>
      </c>
      <c r="S42" s="8">
        <f t="shared" si="10"/>
        <v>207.75</v>
      </c>
      <c r="T42" s="5">
        <f t="shared" si="11"/>
        <v>6.6017674401127868</v>
      </c>
      <c r="U42" s="5">
        <f t="shared" si="12"/>
        <v>4</v>
      </c>
      <c r="V42" s="5">
        <f t="shared" si="13"/>
        <v>2.5693904802720797</v>
      </c>
    </row>
    <row r="43" spans="1:22" x14ac:dyDescent="0.3">
      <c r="A43" s="8">
        <v>17</v>
      </c>
      <c r="B43" s="8">
        <v>8</v>
      </c>
      <c r="C43" s="8">
        <f t="shared" si="9"/>
        <v>10.5</v>
      </c>
      <c r="D43" s="5" t="s">
        <v>122</v>
      </c>
      <c r="E43" s="5">
        <v>193</v>
      </c>
      <c r="F43" s="5">
        <v>161</v>
      </c>
      <c r="G43" s="5">
        <v>166</v>
      </c>
      <c r="H43" s="5">
        <v>171</v>
      </c>
      <c r="I43" s="8">
        <f t="shared" si="1"/>
        <v>172.75</v>
      </c>
      <c r="J43" s="5">
        <f t="shared" si="2"/>
        <v>14.103781998693352</v>
      </c>
      <c r="K43" s="5">
        <f t="shared" si="3"/>
        <v>4</v>
      </c>
      <c r="L43" s="5">
        <f t="shared" si="4"/>
        <v>7.0518909993466758</v>
      </c>
      <c r="N43" s="5" t="s">
        <v>123</v>
      </c>
      <c r="O43" s="5">
        <v>202</v>
      </c>
      <c r="P43" s="5">
        <v>217</v>
      </c>
      <c r="Q43" s="5">
        <v>201</v>
      </c>
      <c r="R43" s="5">
        <v>219</v>
      </c>
      <c r="S43" s="8">
        <f t="shared" si="10"/>
        <v>209.75</v>
      </c>
      <c r="T43" s="5">
        <f t="shared" si="11"/>
        <v>9.5699181466370611</v>
      </c>
      <c r="U43" s="5">
        <f t="shared" si="12"/>
        <v>4</v>
      </c>
      <c r="V43" s="5">
        <f t="shared" si="13"/>
        <v>3.093528429906061</v>
      </c>
    </row>
    <row r="44" spans="1:22" x14ac:dyDescent="0.3">
      <c r="A44" s="8">
        <v>18</v>
      </c>
      <c r="B44" s="8">
        <v>8.5</v>
      </c>
      <c r="C44" s="8">
        <f t="shared" si="9"/>
        <v>11</v>
      </c>
      <c r="D44" s="5" t="s">
        <v>122</v>
      </c>
      <c r="E44" s="5">
        <v>181</v>
      </c>
      <c r="F44" s="5">
        <v>168</v>
      </c>
      <c r="G44" s="5">
        <v>169</v>
      </c>
      <c r="H44" s="5">
        <v>168</v>
      </c>
      <c r="I44" s="8">
        <f t="shared" si="1"/>
        <v>171.5</v>
      </c>
      <c r="J44" s="5">
        <f t="shared" si="2"/>
        <v>6.3508529610858835</v>
      </c>
      <c r="K44" s="5">
        <f t="shared" si="3"/>
        <v>4</v>
      </c>
      <c r="L44" s="5">
        <f t="shared" si="4"/>
        <v>3.1754264805429417</v>
      </c>
      <c r="N44" s="5" t="s">
        <v>123</v>
      </c>
      <c r="O44" s="5">
        <v>205</v>
      </c>
      <c r="P44" s="5">
        <v>216</v>
      </c>
      <c r="Q44" s="5">
        <v>211</v>
      </c>
      <c r="R44" s="5">
        <v>219</v>
      </c>
      <c r="S44" s="8">
        <f t="shared" si="10"/>
        <v>212.75</v>
      </c>
      <c r="T44" s="5">
        <f t="shared" si="11"/>
        <v>6.1305247192498404</v>
      </c>
      <c r="U44" s="5">
        <f t="shared" si="12"/>
        <v>4</v>
      </c>
      <c r="V44" s="5">
        <f t="shared" si="13"/>
        <v>2.4759896444149034</v>
      </c>
    </row>
    <row r="45" spans="1:22" x14ac:dyDescent="0.3">
      <c r="A45" s="8">
        <v>19</v>
      </c>
      <c r="B45" s="8">
        <v>9</v>
      </c>
      <c r="C45" s="8">
        <f t="shared" si="9"/>
        <v>11.5</v>
      </c>
      <c r="D45" s="5" t="s">
        <v>122</v>
      </c>
      <c r="E45" s="5">
        <v>180</v>
      </c>
      <c r="F45" s="5">
        <v>164</v>
      </c>
      <c r="G45" s="5">
        <v>181</v>
      </c>
      <c r="H45" s="5">
        <v>183</v>
      </c>
      <c r="I45" s="8">
        <f t="shared" si="1"/>
        <v>177</v>
      </c>
      <c r="J45" s="5">
        <f t="shared" si="2"/>
        <v>8.755950357709132</v>
      </c>
      <c r="K45" s="5">
        <f t="shared" si="3"/>
        <v>4</v>
      </c>
      <c r="L45" s="5">
        <f t="shared" si="4"/>
        <v>4.377975178854566</v>
      </c>
      <c r="N45" s="5" t="s">
        <v>123</v>
      </c>
      <c r="O45" s="5">
        <v>210</v>
      </c>
      <c r="P45" s="5">
        <v>225</v>
      </c>
      <c r="Q45" s="5">
        <v>211</v>
      </c>
      <c r="R45" s="5">
        <v>224</v>
      </c>
      <c r="S45" s="8">
        <f t="shared" si="10"/>
        <v>217.5</v>
      </c>
      <c r="T45" s="5">
        <f t="shared" si="11"/>
        <v>8.1034971874288129</v>
      </c>
      <c r="U45" s="5">
        <f t="shared" si="12"/>
        <v>4</v>
      </c>
      <c r="V45" s="5">
        <f t="shared" si="13"/>
        <v>2.8466642210539712</v>
      </c>
    </row>
    <row r="46" spans="1:22" x14ac:dyDescent="0.3">
      <c r="A46" s="8">
        <v>20</v>
      </c>
      <c r="B46" s="8">
        <v>9.5</v>
      </c>
      <c r="C46" s="8">
        <f t="shared" si="9"/>
        <v>12</v>
      </c>
      <c r="D46" s="5" t="s">
        <v>122</v>
      </c>
      <c r="E46" s="5">
        <v>174</v>
      </c>
      <c r="F46" s="5">
        <v>170</v>
      </c>
      <c r="G46" s="5">
        <v>172</v>
      </c>
      <c r="H46" s="5">
        <v>176</v>
      </c>
      <c r="I46" s="8">
        <f t="shared" si="1"/>
        <v>173</v>
      </c>
      <c r="J46" s="5">
        <f t="shared" si="2"/>
        <v>2.5819888974716112</v>
      </c>
      <c r="K46" s="5">
        <f t="shared" si="3"/>
        <v>4</v>
      </c>
      <c r="L46" s="5">
        <f t="shared" si="4"/>
        <v>1.2909944487358056</v>
      </c>
      <c r="N46" s="5" t="s">
        <v>123</v>
      </c>
      <c r="O46" s="5">
        <v>221</v>
      </c>
      <c r="P46" s="5">
        <v>226</v>
      </c>
      <c r="Q46" s="5">
        <v>219</v>
      </c>
      <c r="R46" s="5">
        <v>225</v>
      </c>
      <c r="S46" s="8">
        <f t="shared" si="10"/>
        <v>222.75</v>
      </c>
      <c r="T46" s="5">
        <f t="shared" si="11"/>
        <v>3.3040379335998349</v>
      </c>
      <c r="U46" s="5">
        <f t="shared" si="12"/>
        <v>4</v>
      </c>
      <c r="V46" s="5">
        <f t="shared" si="13"/>
        <v>1.8177012773279977</v>
      </c>
    </row>
    <row r="47" spans="1:22" x14ac:dyDescent="0.3">
      <c r="A47" s="8">
        <v>21</v>
      </c>
      <c r="B47" s="8">
        <v>10</v>
      </c>
      <c r="C47" s="8">
        <f t="shared" si="9"/>
        <v>12.5</v>
      </c>
      <c r="D47" s="5" t="s">
        <v>122</v>
      </c>
      <c r="E47" s="5">
        <v>178</v>
      </c>
      <c r="F47" s="5">
        <v>187</v>
      </c>
      <c r="G47" s="5">
        <v>168</v>
      </c>
      <c r="H47" s="5">
        <v>177</v>
      </c>
      <c r="I47" s="8">
        <f t="shared" si="1"/>
        <v>177.5</v>
      </c>
      <c r="J47" s="5">
        <f t="shared" si="2"/>
        <v>7.7674534651540288</v>
      </c>
      <c r="K47" s="5">
        <f t="shared" si="3"/>
        <v>4</v>
      </c>
      <c r="L47" s="5">
        <f t="shared" si="4"/>
        <v>3.8837267325770144</v>
      </c>
      <c r="N47" s="5" t="s">
        <v>123</v>
      </c>
      <c r="O47" s="5">
        <v>218</v>
      </c>
      <c r="P47" s="5">
        <v>225</v>
      </c>
      <c r="Q47" s="5">
        <v>220</v>
      </c>
      <c r="R47" s="5">
        <v>229</v>
      </c>
      <c r="S47" s="8">
        <f t="shared" si="10"/>
        <v>223</v>
      </c>
      <c r="T47" s="5">
        <f t="shared" si="11"/>
        <v>4.9665548085837798</v>
      </c>
      <c r="U47" s="5">
        <f t="shared" si="12"/>
        <v>4</v>
      </c>
      <c r="V47" s="5">
        <f t="shared" si="13"/>
        <v>2.2285768572305917</v>
      </c>
    </row>
    <row r="48" spans="1:22" x14ac:dyDescent="0.3">
      <c r="O48" s="5">
        <f>O47-O27</f>
        <v>5</v>
      </c>
      <c r="P48" s="5">
        <f t="shared" ref="P48:R48" si="14">P47-P27</f>
        <v>7</v>
      </c>
      <c r="Q48" s="5">
        <f t="shared" si="14"/>
        <v>0</v>
      </c>
      <c r="R48" s="5">
        <f t="shared" si="14"/>
        <v>5</v>
      </c>
    </row>
  </sheetData>
  <mergeCells count="8">
    <mergeCell ref="E1:H1"/>
    <mergeCell ref="I1:L1"/>
    <mergeCell ref="O1:R1"/>
    <mergeCell ref="S1:V1"/>
    <mergeCell ref="E25:H25"/>
    <mergeCell ref="I25:L25"/>
    <mergeCell ref="O25:R25"/>
    <mergeCell ref="S25:V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Figure7e</vt:lpstr>
      <vt:lpstr>Figure7f</vt:lpstr>
      <vt:lpstr>Figure7h</vt:lpstr>
      <vt:lpstr>Figure7j</vt:lpstr>
      <vt:lpstr>Figure7k</vt:lpstr>
      <vt:lpstr>Figure7l</vt:lpstr>
      <vt:lpstr>Figure7m</vt:lpstr>
      <vt:lpstr>Figure7n</vt:lpstr>
      <vt:lpstr>Figure7o</vt:lpstr>
      <vt:lpstr>Figure7p</vt:lpstr>
      <vt:lpstr>Figure7q,r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Yiqun Du</dc:creator>
  <cp:lastModifiedBy>Ruoxi Hong</cp:lastModifiedBy>
  <dcterms:created xsi:type="dcterms:W3CDTF">2026-09-30T02:40:42Z</dcterms:created>
  <dcterms:modified xsi:type="dcterms:W3CDTF">2026-10-22T14:01:24Z</dcterms:modified>
</cp:coreProperties>
</file>